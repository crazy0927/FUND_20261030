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30406\2026年_工作整理\10月\20261029\004\"/>
    </mc:Choice>
  </mc:AlternateContent>
  <xr:revisionPtr revIDLastSave="0" documentId="13_ncr:1_{65093E5F-0931-4C1B-83CC-8ACCEC39EE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a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/>
  <c r="P3" i="1"/>
  <c r="C3" i="1" l="1"/>
  <c r="E3" i="1"/>
  <c r="G3" i="1" s="1"/>
  <c r="F3" i="1"/>
  <c r="I3" i="1"/>
  <c r="M3" i="1" s="1"/>
  <c r="J3" i="1"/>
  <c r="K3" i="1"/>
  <c r="L3" i="1"/>
  <c r="Q196" i="1"/>
  <c r="Q195" i="1" s="1"/>
  <c r="Q194" i="1" s="1"/>
  <c r="Q193" i="1" s="1"/>
  <c r="Q192" i="1" s="1"/>
  <c r="Q191" i="1" s="1"/>
  <c r="Q190" i="1" s="1"/>
  <c r="Q189" i="1" s="1"/>
  <c r="Q188" i="1" s="1"/>
  <c r="Q187" i="1" s="1"/>
  <c r="Q186" i="1" s="1"/>
  <c r="Q185" i="1" s="1"/>
  <c r="Q184" i="1" s="1"/>
  <c r="Q183" i="1" s="1"/>
  <c r="Q182" i="1" s="1"/>
  <c r="Q181" i="1" s="1"/>
  <c r="Q180" i="1" s="1"/>
  <c r="Q179" i="1" s="1"/>
  <c r="Q178" i="1" s="1"/>
  <c r="Q177" i="1" s="1"/>
  <c r="Q176" i="1" s="1"/>
  <c r="Q175" i="1" s="1"/>
  <c r="Q174" i="1" s="1"/>
  <c r="Q173" i="1" s="1"/>
  <c r="Q172" i="1" s="1"/>
  <c r="Q171" i="1" s="1"/>
  <c r="Q170" i="1" s="1"/>
  <c r="Q169" i="1" s="1"/>
  <c r="Q168" i="1" s="1"/>
  <c r="Q167" i="1" s="1"/>
  <c r="Q166" i="1" s="1"/>
  <c r="Q165" i="1" s="1"/>
  <c r="Q164" i="1" s="1"/>
  <c r="Q163" i="1" s="1"/>
  <c r="Q162" i="1" s="1"/>
  <c r="Q161" i="1" s="1"/>
  <c r="Q160" i="1" s="1"/>
  <c r="Q159" i="1" s="1"/>
  <c r="Q158" i="1" s="1"/>
  <c r="Q157" i="1" s="1"/>
  <c r="Q156" i="1" s="1"/>
  <c r="Q155" i="1" s="1"/>
  <c r="Q154" i="1" s="1"/>
  <c r="Q153" i="1" s="1"/>
  <c r="Q152" i="1" s="1"/>
  <c r="Q151" i="1" s="1"/>
  <c r="Q150" i="1" s="1"/>
  <c r="Q149" i="1" s="1"/>
  <c r="Q148" i="1" s="1"/>
  <c r="Q147" i="1" s="1"/>
  <c r="Q146" i="1" s="1"/>
  <c r="Q145" i="1" s="1"/>
  <c r="Q144" i="1" s="1"/>
  <c r="Q143" i="1" s="1"/>
  <c r="Q142" i="1" s="1"/>
  <c r="Q141" i="1" s="1"/>
  <c r="Q140" i="1" s="1"/>
  <c r="Q139" i="1" s="1"/>
  <c r="Q138" i="1" s="1"/>
  <c r="Q137" i="1" s="1"/>
  <c r="Q136" i="1" s="1"/>
  <c r="Q135" i="1" s="1"/>
  <c r="Q134" i="1" s="1"/>
  <c r="Q133" i="1" s="1"/>
  <c r="Q132" i="1" s="1"/>
  <c r="Q131" i="1" s="1"/>
  <c r="Q130" i="1" s="1"/>
  <c r="Q129" i="1" s="1"/>
  <c r="Q128" i="1" s="1"/>
  <c r="Q127" i="1" s="1"/>
  <c r="Q126" i="1" s="1"/>
  <c r="Q125" i="1" s="1"/>
  <c r="Q124" i="1" s="1"/>
  <c r="Q123" i="1" s="1"/>
  <c r="Q122" i="1" s="1"/>
  <c r="Q121" i="1" s="1"/>
  <c r="Q120" i="1" s="1"/>
  <c r="Q119" i="1" s="1"/>
  <c r="Q118" i="1" s="1"/>
  <c r="Q117" i="1" s="1"/>
  <c r="Q116" i="1" s="1"/>
  <c r="Q115" i="1" s="1"/>
  <c r="Q114" i="1" s="1"/>
  <c r="Q113" i="1" s="1"/>
  <c r="Q112" i="1" s="1"/>
  <c r="Q111" i="1" s="1"/>
  <c r="Q110" i="1" s="1"/>
  <c r="Q109" i="1" s="1"/>
  <c r="Q108" i="1" s="1"/>
  <c r="Q107" i="1" s="1"/>
  <c r="Q106" i="1" s="1"/>
  <c r="Q105" i="1" s="1"/>
  <c r="Q104" i="1" s="1"/>
  <c r="Q103" i="1" s="1"/>
  <c r="Q102" i="1" s="1"/>
  <c r="Q101" i="1" s="1"/>
  <c r="Q100" i="1" s="1"/>
  <c r="Q99" i="1" s="1"/>
  <c r="Q98" i="1" s="1"/>
  <c r="Q97" i="1" s="1"/>
  <c r="Q96" i="1" s="1"/>
  <c r="Q95" i="1" s="1"/>
  <c r="Q94" i="1" s="1"/>
  <c r="Q93" i="1" s="1"/>
  <c r="Q92" i="1" s="1"/>
  <c r="Q91" i="1" s="1"/>
  <c r="Q90" i="1" s="1"/>
  <c r="Q89" i="1" s="1"/>
  <c r="Q88" i="1" s="1"/>
  <c r="Q87" i="1" s="1"/>
  <c r="Q86" i="1" s="1"/>
  <c r="Q85" i="1" s="1"/>
  <c r="Q84" i="1" s="1"/>
  <c r="Q83" i="1" s="1"/>
  <c r="Q82" i="1" s="1"/>
  <c r="Q81" i="1" s="1"/>
  <c r="Q80" i="1" s="1"/>
  <c r="Q79" i="1" s="1"/>
  <c r="Q78" i="1" s="1"/>
  <c r="Q77" i="1" s="1"/>
  <c r="Q76" i="1" s="1"/>
  <c r="Q75" i="1" s="1"/>
  <c r="Q74" i="1" s="1"/>
  <c r="Q73" i="1" s="1"/>
  <c r="Q72" i="1" s="1"/>
  <c r="Q71" i="1" s="1"/>
  <c r="Q70" i="1" s="1"/>
  <c r="Q69" i="1" s="1"/>
  <c r="Q68" i="1" s="1"/>
  <c r="Q67" i="1" s="1"/>
  <c r="Q66" i="1" s="1"/>
  <c r="Q65" i="1" s="1"/>
  <c r="Q64" i="1" s="1"/>
  <c r="Q63" i="1" s="1"/>
  <c r="Q62" i="1" s="1"/>
  <c r="Q61" i="1" s="1"/>
  <c r="Q60" i="1" s="1"/>
  <c r="Q59" i="1" s="1"/>
  <c r="Q58" i="1" s="1"/>
  <c r="Q57" i="1" s="1"/>
  <c r="Q56" i="1" s="1"/>
  <c r="Q55" i="1" s="1"/>
  <c r="Q54" i="1" s="1"/>
  <c r="Q53" i="1" s="1"/>
  <c r="Q52" i="1" s="1"/>
  <c r="Q51" i="1" s="1"/>
  <c r="Q50" i="1" s="1"/>
  <c r="Q49" i="1" s="1"/>
  <c r="Q48" i="1" s="1"/>
  <c r="Q47" i="1" s="1"/>
  <c r="Q46" i="1" s="1"/>
  <c r="Q45" i="1" s="1"/>
  <c r="Q44" i="1" s="1"/>
  <c r="Q43" i="1" s="1"/>
  <c r="Q42" i="1" s="1"/>
  <c r="Q41" i="1" s="1"/>
  <c r="Q40" i="1" s="1"/>
  <c r="Q39" i="1" s="1"/>
  <c r="Q38" i="1" s="1"/>
  <c r="Q37" i="1" s="1"/>
  <c r="Q36" i="1" s="1"/>
  <c r="Q35" i="1" s="1"/>
  <c r="Q34" i="1" s="1"/>
  <c r="Q33" i="1" s="1"/>
  <c r="Q32" i="1" s="1"/>
  <c r="Q31" i="1" s="1"/>
  <c r="Q30" i="1" s="1"/>
  <c r="Q29" i="1" s="1"/>
  <c r="Q28" i="1" s="1"/>
  <c r="Q27" i="1" s="1"/>
  <c r="Q26" i="1" s="1"/>
  <c r="Q25" i="1" s="1"/>
  <c r="Q24" i="1" s="1"/>
  <c r="Q23" i="1" s="1"/>
  <c r="Q22" i="1" s="1"/>
  <c r="Q21" i="1" s="1"/>
  <c r="Q20" i="1" s="1"/>
  <c r="Q19" i="1" s="1"/>
  <c r="Q18" i="1" s="1"/>
  <c r="Q17" i="1" s="1"/>
  <c r="Q16" i="1" s="1"/>
  <c r="Q15" i="1" s="1"/>
  <c r="Q14" i="1" s="1"/>
  <c r="Q13" i="1" s="1"/>
  <c r="Q12" i="1" s="1"/>
  <c r="Q11" i="1" s="1"/>
  <c r="Q10" i="1" s="1"/>
  <c r="Q9" i="1" s="1"/>
  <c r="Q8" i="1" s="1"/>
  <c r="Q7" i="1" s="1"/>
  <c r="P196" i="1"/>
  <c r="P195" i="1" s="1"/>
  <c r="P194" i="1" s="1"/>
  <c r="P193" i="1" s="1"/>
  <c r="P192" i="1" s="1"/>
  <c r="P191" i="1" s="1"/>
  <c r="P190" i="1" s="1"/>
  <c r="P189" i="1" s="1"/>
  <c r="P188" i="1" s="1"/>
  <c r="P187" i="1" s="1"/>
  <c r="P186" i="1" s="1"/>
  <c r="P185" i="1" s="1"/>
  <c r="P184" i="1" s="1"/>
  <c r="P183" i="1" s="1"/>
  <c r="P182" i="1" s="1"/>
  <c r="P181" i="1" s="1"/>
  <c r="P180" i="1" s="1"/>
  <c r="P179" i="1" s="1"/>
  <c r="P178" i="1" s="1"/>
  <c r="P177" i="1" s="1"/>
  <c r="P176" i="1" s="1"/>
  <c r="P175" i="1" s="1"/>
  <c r="P174" i="1" s="1"/>
  <c r="P173" i="1" s="1"/>
  <c r="P172" i="1" s="1"/>
  <c r="P171" i="1" s="1"/>
  <c r="P170" i="1" s="1"/>
  <c r="P169" i="1" s="1"/>
  <c r="P168" i="1" s="1"/>
  <c r="P167" i="1" s="1"/>
  <c r="P166" i="1" s="1"/>
  <c r="P165" i="1" s="1"/>
  <c r="P164" i="1" s="1"/>
  <c r="P163" i="1" s="1"/>
  <c r="P162" i="1" s="1"/>
  <c r="P161" i="1" s="1"/>
  <c r="P160" i="1" s="1"/>
  <c r="P159" i="1" s="1"/>
  <c r="P158" i="1" s="1"/>
  <c r="P157" i="1" s="1"/>
  <c r="P156" i="1" s="1"/>
  <c r="P155" i="1" s="1"/>
  <c r="P154" i="1" s="1"/>
  <c r="P153" i="1" s="1"/>
  <c r="P152" i="1" s="1"/>
  <c r="P151" i="1" s="1"/>
  <c r="P150" i="1" s="1"/>
  <c r="P149" i="1" s="1"/>
  <c r="P148" i="1" s="1"/>
  <c r="P147" i="1" s="1"/>
  <c r="P146" i="1" s="1"/>
  <c r="P145" i="1" s="1"/>
  <c r="P144" i="1" s="1"/>
  <c r="P143" i="1" s="1"/>
  <c r="P142" i="1" s="1"/>
  <c r="P141" i="1" s="1"/>
  <c r="P140" i="1" s="1"/>
  <c r="P139" i="1" s="1"/>
  <c r="P138" i="1" s="1"/>
  <c r="P137" i="1" s="1"/>
  <c r="P136" i="1" s="1"/>
  <c r="P135" i="1" s="1"/>
  <c r="P134" i="1" s="1"/>
  <c r="P133" i="1" s="1"/>
  <c r="P132" i="1" s="1"/>
  <c r="P131" i="1" s="1"/>
  <c r="P130" i="1" s="1"/>
  <c r="P129" i="1" s="1"/>
  <c r="P128" i="1" s="1"/>
  <c r="P127" i="1" s="1"/>
  <c r="P126" i="1" s="1"/>
  <c r="P125" i="1" s="1"/>
  <c r="P124" i="1" s="1"/>
  <c r="P123" i="1" s="1"/>
  <c r="P122" i="1" s="1"/>
  <c r="P121" i="1" s="1"/>
  <c r="P120" i="1" s="1"/>
  <c r="P119" i="1" s="1"/>
  <c r="P118" i="1" s="1"/>
  <c r="P117" i="1" s="1"/>
  <c r="P116" i="1" s="1"/>
  <c r="P115" i="1" s="1"/>
  <c r="P114" i="1" s="1"/>
  <c r="P113" i="1" s="1"/>
  <c r="P112" i="1" s="1"/>
  <c r="P111" i="1" s="1"/>
  <c r="P110" i="1" s="1"/>
  <c r="P109" i="1" s="1"/>
  <c r="P108" i="1" s="1"/>
  <c r="P107" i="1" s="1"/>
  <c r="P106" i="1" s="1"/>
  <c r="P105" i="1" s="1"/>
  <c r="P104" i="1" s="1"/>
  <c r="P103" i="1" s="1"/>
  <c r="P102" i="1" s="1"/>
  <c r="P101" i="1" s="1"/>
  <c r="P100" i="1" s="1"/>
  <c r="P99" i="1" s="1"/>
  <c r="P98" i="1" s="1"/>
  <c r="P97" i="1" s="1"/>
  <c r="P96" i="1" s="1"/>
  <c r="P95" i="1" s="1"/>
  <c r="P94" i="1" s="1"/>
  <c r="P93" i="1" s="1"/>
  <c r="P92" i="1" s="1"/>
  <c r="P91" i="1" s="1"/>
  <c r="P90" i="1" s="1"/>
  <c r="P89" i="1" s="1"/>
  <c r="P88" i="1" s="1"/>
  <c r="P87" i="1" s="1"/>
  <c r="P86" i="1" s="1"/>
  <c r="P85" i="1" s="1"/>
  <c r="P84" i="1" s="1"/>
  <c r="P83" i="1" s="1"/>
  <c r="P82" i="1" s="1"/>
  <c r="P81" i="1" s="1"/>
  <c r="P80" i="1" s="1"/>
  <c r="P79" i="1" s="1"/>
  <c r="P78" i="1" s="1"/>
  <c r="P77" i="1" s="1"/>
  <c r="P76" i="1" s="1"/>
  <c r="P75" i="1" s="1"/>
  <c r="P74" i="1" s="1"/>
  <c r="P73" i="1" s="1"/>
  <c r="P72" i="1" s="1"/>
  <c r="P71" i="1" s="1"/>
  <c r="P70" i="1" s="1"/>
  <c r="P69" i="1" s="1"/>
  <c r="P68" i="1" s="1"/>
  <c r="P67" i="1" s="1"/>
  <c r="P66" i="1" s="1"/>
  <c r="P65" i="1" s="1"/>
  <c r="P64" i="1" s="1"/>
  <c r="P63" i="1" s="1"/>
  <c r="P62" i="1" s="1"/>
  <c r="P61" i="1" s="1"/>
  <c r="P60" i="1" s="1"/>
  <c r="P59" i="1" s="1"/>
  <c r="P58" i="1" s="1"/>
  <c r="P57" i="1" s="1"/>
  <c r="P56" i="1" s="1"/>
  <c r="P55" i="1" s="1"/>
  <c r="P54" i="1" s="1"/>
  <c r="P53" i="1" s="1"/>
  <c r="P52" i="1" s="1"/>
  <c r="P51" i="1" s="1"/>
  <c r="P50" i="1" s="1"/>
  <c r="P49" i="1" s="1"/>
  <c r="P48" i="1" s="1"/>
  <c r="P47" i="1" s="1"/>
  <c r="P46" i="1" s="1"/>
  <c r="P45" i="1" s="1"/>
  <c r="P44" i="1" s="1"/>
  <c r="P43" i="1" s="1"/>
  <c r="P42" i="1" s="1"/>
  <c r="P41" i="1" s="1"/>
  <c r="P40" i="1" s="1"/>
  <c r="P39" i="1" s="1"/>
  <c r="P38" i="1" s="1"/>
  <c r="P37" i="1" s="1"/>
  <c r="P36" i="1" s="1"/>
  <c r="P35" i="1" s="1"/>
  <c r="P34" i="1" s="1"/>
  <c r="P33" i="1" s="1"/>
  <c r="P32" i="1" s="1"/>
  <c r="P31" i="1" s="1"/>
  <c r="P30" i="1" s="1"/>
  <c r="P29" i="1" s="1"/>
  <c r="P28" i="1" s="1"/>
  <c r="P27" i="1" s="1"/>
  <c r="P26" i="1" s="1"/>
  <c r="P25" i="1" s="1"/>
  <c r="P24" i="1" s="1"/>
  <c r="P23" i="1" s="1"/>
  <c r="P22" i="1" s="1"/>
  <c r="P21" i="1" s="1"/>
  <c r="P20" i="1" s="1"/>
  <c r="P19" i="1" s="1"/>
  <c r="P18" i="1" s="1"/>
  <c r="P17" i="1" s="1"/>
  <c r="P16" i="1" s="1"/>
  <c r="P15" i="1" s="1"/>
  <c r="P14" i="1" s="1"/>
  <c r="P13" i="1" s="1"/>
  <c r="P12" i="1" s="1"/>
  <c r="P11" i="1" s="1"/>
  <c r="P10" i="1" s="1"/>
  <c r="P9" i="1" s="1"/>
  <c r="P8" i="1" s="1"/>
  <c r="P7" i="1" s="1"/>
  <c r="P6" i="1" s="1"/>
  <c r="P5" i="1" s="1"/>
  <c r="P4" i="1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L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K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5" i="1"/>
  <c r="J25" i="1"/>
  <c r="K25" i="1"/>
  <c r="L25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I31" i="1"/>
  <c r="J31" i="1"/>
  <c r="K31" i="1"/>
  <c r="L31" i="1"/>
  <c r="I32" i="1"/>
  <c r="J32" i="1"/>
  <c r="K32" i="1"/>
  <c r="L32" i="1"/>
  <c r="I33" i="1"/>
  <c r="J33" i="1"/>
  <c r="K33" i="1"/>
  <c r="L33" i="1"/>
  <c r="I34" i="1"/>
  <c r="J34" i="1"/>
  <c r="K34" i="1"/>
  <c r="L34" i="1"/>
  <c r="I35" i="1"/>
  <c r="J35" i="1"/>
  <c r="K35" i="1"/>
  <c r="L35" i="1"/>
  <c r="I36" i="1"/>
  <c r="J36" i="1"/>
  <c r="K36" i="1"/>
  <c r="L36" i="1"/>
  <c r="I37" i="1"/>
  <c r="J37" i="1"/>
  <c r="K37" i="1"/>
  <c r="L37" i="1"/>
  <c r="I38" i="1"/>
  <c r="J38" i="1"/>
  <c r="K38" i="1"/>
  <c r="L38" i="1"/>
  <c r="I39" i="1"/>
  <c r="J39" i="1"/>
  <c r="K39" i="1"/>
  <c r="L39" i="1"/>
  <c r="I40" i="1"/>
  <c r="J40" i="1"/>
  <c r="K40" i="1"/>
  <c r="L40" i="1"/>
  <c r="I41" i="1"/>
  <c r="J41" i="1"/>
  <c r="K41" i="1"/>
  <c r="L41" i="1"/>
  <c r="I42" i="1"/>
  <c r="J42" i="1"/>
  <c r="K42" i="1"/>
  <c r="L42" i="1"/>
  <c r="I43" i="1"/>
  <c r="J43" i="1"/>
  <c r="K43" i="1"/>
  <c r="L43" i="1"/>
  <c r="I44" i="1"/>
  <c r="J44" i="1"/>
  <c r="K44" i="1"/>
  <c r="L44" i="1"/>
  <c r="I45" i="1"/>
  <c r="J45" i="1"/>
  <c r="K45" i="1"/>
  <c r="L45" i="1"/>
  <c r="I46" i="1"/>
  <c r="J46" i="1"/>
  <c r="K46" i="1"/>
  <c r="L46" i="1"/>
  <c r="I47" i="1"/>
  <c r="J47" i="1"/>
  <c r="K47" i="1"/>
  <c r="L47" i="1"/>
  <c r="I48" i="1"/>
  <c r="J48" i="1"/>
  <c r="K48" i="1"/>
  <c r="L48" i="1"/>
  <c r="I49" i="1"/>
  <c r="J49" i="1"/>
  <c r="K49" i="1"/>
  <c r="L49" i="1"/>
  <c r="I50" i="1"/>
  <c r="J50" i="1"/>
  <c r="K50" i="1"/>
  <c r="L50" i="1"/>
  <c r="I51" i="1"/>
  <c r="J51" i="1"/>
  <c r="K51" i="1"/>
  <c r="L51" i="1"/>
  <c r="I52" i="1"/>
  <c r="J52" i="1"/>
  <c r="K52" i="1"/>
  <c r="L52" i="1"/>
  <c r="I53" i="1"/>
  <c r="J53" i="1"/>
  <c r="K53" i="1"/>
  <c r="L53" i="1"/>
  <c r="I54" i="1"/>
  <c r="J54" i="1"/>
  <c r="K54" i="1"/>
  <c r="L54" i="1"/>
  <c r="I55" i="1"/>
  <c r="J55" i="1"/>
  <c r="K55" i="1"/>
  <c r="L55" i="1"/>
  <c r="I56" i="1"/>
  <c r="J56" i="1"/>
  <c r="K56" i="1"/>
  <c r="L56" i="1"/>
  <c r="I57" i="1"/>
  <c r="J57" i="1"/>
  <c r="K57" i="1"/>
  <c r="L57" i="1"/>
  <c r="I58" i="1"/>
  <c r="J58" i="1"/>
  <c r="K58" i="1"/>
  <c r="L58" i="1"/>
  <c r="I59" i="1"/>
  <c r="J59" i="1"/>
  <c r="K59" i="1"/>
  <c r="L59" i="1"/>
  <c r="I60" i="1"/>
  <c r="J60" i="1"/>
  <c r="K60" i="1"/>
  <c r="L60" i="1"/>
  <c r="I61" i="1"/>
  <c r="J61" i="1"/>
  <c r="K61" i="1"/>
  <c r="L61" i="1"/>
  <c r="I62" i="1"/>
  <c r="J62" i="1"/>
  <c r="K62" i="1"/>
  <c r="L62" i="1"/>
  <c r="I63" i="1"/>
  <c r="J63" i="1"/>
  <c r="K63" i="1"/>
  <c r="L63" i="1"/>
  <c r="I64" i="1"/>
  <c r="J64" i="1"/>
  <c r="K64" i="1"/>
  <c r="L64" i="1"/>
  <c r="I65" i="1"/>
  <c r="J65" i="1"/>
  <c r="K65" i="1"/>
  <c r="L65" i="1"/>
  <c r="I66" i="1"/>
  <c r="J66" i="1"/>
  <c r="K66" i="1"/>
  <c r="L66" i="1"/>
  <c r="I67" i="1"/>
  <c r="J67" i="1"/>
  <c r="K67" i="1"/>
  <c r="L67" i="1"/>
  <c r="I68" i="1"/>
  <c r="J68" i="1"/>
  <c r="K68" i="1"/>
  <c r="L68" i="1"/>
  <c r="I69" i="1"/>
  <c r="J69" i="1"/>
  <c r="K69" i="1"/>
  <c r="L69" i="1"/>
  <c r="I70" i="1"/>
  <c r="J70" i="1"/>
  <c r="K70" i="1"/>
  <c r="L70" i="1"/>
  <c r="I71" i="1"/>
  <c r="J71" i="1"/>
  <c r="K71" i="1"/>
  <c r="L71" i="1"/>
  <c r="I72" i="1"/>
  <c r="J72" i="1"/>
  <c r="K72" i="1"/>
  <c r="L72" i="1"/>
  <c r="I73" i="1"/>
  <c r="J73" i="1"/>
  <c r="K73" i="1"/>
  <c r="L73" i="1"/>
  <c r="I74" i="1"/>
  <c r="J74" i="1"/>
  <c r="K74" i="1"/>
  <c r="L74" i="1"/>
  <c r="I75" i="1"/>
  <c r="J75" i="1"/>
  <c r="K75" i="1"/>
  <c r="L75" i="1"/>
  <c r="I76" i="1"/>
  <c r="J76" i="1"/>
  <c r="K76" i="1"/>
  <c r="L76" i="1"/>
  <c r="I77" i="1"/>
  <c r="J77" i="1"/>
  <c r="K77" i="1"/>
  <c r="L77" i="1"/>
  <c r="I78" i="1"/>
  <c r="J78" i="1"/>
  <c r="K78" i="1"/>
  <c r="L78" i="1"/>
  <c r="I79" i="1"/>
  <c r="J79" i="1"/>
  <c r="K79" i="1"/>
  <c r="L79" i="1"/>
  <c r="I80" i="1"/>
  <c r="J80" i="1"/>
  <c r="K80" i="1"/>
  <c r="L80" i="1"/>
  <c r="I81" i="1"/>
  <c r="J81" i="1"/>
  <c r="K81" i="1"/>
  <c r="L81" i="1"/>
  <c r="I82" i="1"/>
  <c r="J82" i="1"/>
  <c r="K82" i="1"/>
  <c r="L82" i="1"/>
  <c r="I83" i="1"/>
  <c r="J83" i="1"/>
  <c r="K83" i="1"/>
  <c r="L83" i="1"/>
  <c r="I84" i="1"/>
  <c r="J84" i="1"/>
  <c r="K84" i="1"/>
  <c r="L84" i="1"/>
  <c r="I85" i="1"/>
  <c r="J85" i="1"/>
  <c r="K85" i="1"/>
  <c r="L85" i="1"/>
  <c r="I86" i="1"/>
  <c r="J86" i="1"/>
  <c r="K86" i="1"/>
  <c r="L86" i="1"/>
  <c r="I87" i="1"/>
  <c r="J87" i="1"/>
  <c r="K87" i="1"/>
  <c r="L87" i="1"/>
  <c r="I88" i="1"/>
  <c r="J88" i="1"/>
  <c r="K88" i="1"/>
  <c r="L88" i="1"/>
  <c r="I89" i="1"/>
  <c r="J89" i="1"/>
  <c r="K89" i="1"/>
  <c r="L89" i="1"/>
  <c r="I90" i="1"/>
  <c r="J90" i="1"/>
  <c r="K90" i="1"/>
  <c r="L90" i="1"/>
  <c r="I91" i="1"/>
  <c r="J91" i="1"/>
  <c r="K91" i="1"/>
  <c r="L91" i="1"/>
  <c r="I92" i="1"/>
  <c r="J92" i="1"/>
  <c r="K92" i="1"/>
  <c r="L92" i="1"/>
  <c r="I93" i="1"/>
  <c r="J93" i="1"/>
  <c r="K93" i="1"/>
  <c r="L93" i="1"/>
  <c r="I94" i="1"/>
  <c r="J94" i="1"/>
  <c r="K94" i="1"/>
  <c r="L94" i="1"/>
  <c r="I95" i="1"/>
  <c r="J95" i="1"/>
  <c r="K95" i="1"/>
  <c r="L95" i="1"/>
  <c r="I96" i="1"/>
  <c r="J96" i="1"/>
  <c r="K96" i="1"/>
  <c r="L96" i="1"/>
  <c r="I97" i="1"/>
  <c r="J97" i="1"/>
  <c r="K97" i="1"/>
  <c r="L97" i="1"/>
  <c r="I98" i="1"/>
  <c r="J98" i="1"/>
  <c r="K98" i="1"/>
  <c r="L98" i="1"/>
  <c r="I99" i="1"/>
  <c r="J99" i="1"/>
  <c r="K99" i="1"/>
  <c r="L99" i="1"/>
  <c r="I100" i="1"/>
  <c r="J100" i="1"/>
  <c r="K100" i="1"/>
  <c r="L100" i="1"/>
  <c r="I101" i="1"/>
  <c r="J101" i="1"/>
  <c r="K101" i="1"/>
  <c r="L101" i="1"/>
  <c r="I102" i="1"/>
  <c r="J102" i="1"/>
  <c r="K102" i="1"/>
  <c r="L102" i="1"/>
  <c r="I103" i="1"/>
  <c r="J103" i="1"/>
  <c r="K103" i="1"/>
  <c r="L103" i="1"/>
  <c r="I104" i="1"/>
  <c r="J104" i="1"/>
  <c r="K104" i="1"/>
  <c r="L104" i="1"/>
  <c r="I105" i="1"/>
  <c r="J105" i="1"/>
  <c r="K105" i="1"/>
  <c r="L105" i="1"/>
  <c r="I106" i="1"/>
  <c r="J106" i="1"/>
  <c r="K106" i="1"/>
  <c r="L106" i="1"/>
  <c r="I107" i="1"/>
  <c r="J107" i="1"/>
  <c r="K107" i="1"/>
  <c r="L107" i="1"/>
  <c r="I108" i="1"/>
  <c r="J108" i="1"/>
  <c r="K108" i="1"/>
  <c r="L108" i="1"/>
  <c r="I109" i="1"/>
  <c r="J109" i="1"/>
  <c r="K109" i="1"/>
  <c r="L109" i="1"/>
  <c r="I110" i="1"/>
  <c r="J110" i="1"/>
  <c r="K110" i="1"/>
  <c r="L110" i="1"/>
  <c r="I111" i="1"/>
  <c r="J111" i="1"/>
  <c r="K111" i="1"/>
  <c r="L111" i="1"/>
  <c r="I112" i="1"/>
  <c r="J112" i="1"/>
  <c r="K112" i="1"/>
  <c r="L112" i="1"/>
  <c r="I113" i="1"/>
  <c r="J113" i="1"/>
  <c r="K113" i="1"/>
  <c r="L113" i="1"/>
  <c r="I114" i="1"/>
  <c r="J114" i="1"/>
  <c r="K114" i="1"/>
  <c r="L114" i="1"/>
  <c r="I115" i="1"/>
  <c r="J115" i="1"/>
  <c r="K115" i="1"/>
  <c r="L115" i="1"/>
  <c r="I116" i="1"/>
  <c r="J116" i="1"/>
  <c r="K116" i="1"/>
  <c r="L116" i="1"/>
  <c r="I117" i="1"/>
  <c r="J117" i="1"/>
  <c r="K117" i="1"/>
  <c r="L117" i="1"/>
  <c r="I118" i="1"/>
  <c r="J118" i="1"/>
  <c r="K118" i="1"/>
  <c r="L118" i="1"/>
  <c r="I119" i="1"/>
  <c r="J119" i="1"/>
  <c r="K119" i="1"/>
  <c r="L119" i="1"/>
  <c r="I120" i="1"/>
  <c r="J120" i="1"/>
  <c r="K120" i="1"/>
  <c r="L120" i="1"/>
  <c r="I121" i="1"/>
  <c r="J121" i="1"/>
  <c r="K121" i="1"/>
  <c r="L121" i="1"/>
  <c r="I122" i="1"/>
  <c r="J122" i="1"/>
  <c r="K122" i="1"/>
  <c r="L122" i="1"/>
  <c r="I123" i="1"/>
  <c r="J123" i="1"/>
  <c r="K123" i="1"/>
  <c r="L123" i="1"/>
  <c r="I124" i="1"/>
  <c r="J124" i="1"/>
  <c r="K124" i="1"/>
  <c r="L124" i="1"/>
  <c r="I125" i="1"/>
  <c r="J125" i="1"/>
  <c r="K125" i="1"/>
  <c r="L125" i="1"/>
  <c r="I126" i="1"/>
  <c r="J126" i="1"/>
  <c r="K126" i="1"/>
  <c r="L126" i="1"/>
  <c r="I127" i="1"/>
  <c r="J127" i="1"/>
  <c r="K127" i="1"/>
  <c r="L127" i="1"/>
  <c r="I128" i="1"/>
  <c r="J128" i="1"/>
  <c r="K128" i="1"/>
  <c r="L128" i="1"/>
  <c r="I129" i="1"/>
  <c r="J129" i="1"/>
  <c r="K129" i="1"/>
  <c r="L129" i="1"/>
  <c r="I130" i="1"/>
  <c r="J130" i="1"/>
  <c r="K130" i="1"/>
  <c r="L130" i="1"/>
  <c r="I131" i="1"/>
  <c r="J131" i="1"/>
  <c r="K131" i="1"/>
  <c r="L131" i="1"/>
  <c r="I132" i="1"/>
  <c r="J132" i="1"/>
  <c r="K132" i="1"/>
  <c r="L132" i="1"/>
  <c r="I133" i="1"/>
  <c r="J133" i="1"/>
  <c r="K133" i="1"/>
  <c r="L133" i="1"/>
  <c r="I134" i="1"/>
  <c r="J134" i="1"/>
  <c r="K134" i="1"/>
  <c r="L134" i="1"/>
  <c r="I135" i="1"/>
  <c r="J135" i="1"/>
  <c r="K135" i="1"/>
  <c r="L135" i="1"/>
  <c r="I136" i="1"/>
  <c r="J136" i="1"/>
  <c r="K136" i="1"/>
  <c r="L136" i="1"/>
  <c r="I137" i="1"/>
  <c r="J137" i="1"/>
  <c r="K137" i="1"/>
  <c r="L137" i="1"/>
  <c r="I138" i="1"/>
  <c r="J138" i="1"/>
  <c r="K138" i="1"/>
  <c r="L138" i="1"/>
  <c r="I139" i="1"/>
  <c r="J139" i="1"/>
  <c r="K139" i="1"/>
  <c r="L139" i="1"/>
  <c r="I140" i="1"/>
  <c r="J140" i="1"/>
  <c r="K140" i="1"/>
  <c r="L140" i="1"/>
  <c r="I141" i="1"/>
  <c r="J141" i="1"/>
  <c r="K141" i="1"/>
  <c r="L141" i="1"/>
  <c r="I142" i="1"/>
  <c r="J142" i="1"/>
  <c r="K142" i="1"/>
  <c r="L142" i="1"/>
  <c r="I143" i="1"/>
  <c r="J143" i="1"/>
  <c r="K143" i="1"/>
  <c r="L143" i="1"/>
  <c r="I144" i="1"/>
  <c r="J144" i="1"/>
  <c r="K144" i="1"/>
  <c r="L144" i="1"/>
  <c r="I145" i="1"/>
  <c r="J145" i="1"/>
  <c r="K145" i="1"/>
  <c r="L145" i="1"/>
  <c r="I146" i="1"/>
  <c r="J146" i="1"/>
  <c r="K146" i="1"/>
  <c r="L146" i="1"/>
  <c r="I147" i="1"/>
  <c r="J147" i="1"/>
  <c r="K147" i="1"/>
  <c r="L147" i="1"/>
  <c r="I148" i="1"/>
  <c r="J148" i="1"/>
  <c r="K148" i="1"/>
  <c r="L148" i="1"/>
  <c r="I149" i="1"/>
  <c r="J149" i="1"/>
  <c r="K149" i="1"/>
  <c r="L149" i="1"/>
  <c r="I150" i="1"/>
  <c r="J150" i="1"/>
  <c r="K150" i="1"/>
  <c r="L150" i="1"/>
  <c r="I151" i="1"/>
  <c r="J151" i="1"/>
  <c r="K151" i="1"/>
  <c r="L151" i="1"/>
  <c r="I152" i="1"/>
  <c r="J152" i="1"/>
  <c r="K152" i="1"/>
  <c r="L152" i="1"/>
  <c r="I153" i="1"/>
  <c r="J153" i="1"/>
  <c r="K153" i="1"/>
  <c r="L153" i="1"/>
  <c r="I154" i="1"/>
  <c r="J154" i="1"/>
  <c r="K154" i="1"/>
  <c r="L154" i="1"/>
  <c r="I155" i="1"/>
  <c r="J155" i="1"/>
  <c r="K155" i="1"/>
  <c r="L155" i="1"/>
  <c r="I156" i="1"/>
  <c r="J156" i="1"/>
  <c r="K156" i="1"/>
  <c r="L156" i="1"/>
  <c r="I157" i="1"/>
  <c r="J157" i="1"/>
  <c r="K157" i="1"/>
  <c r="L157" i="1"/>
  <c r="I158" i="1"/>
  <c r="J158" i="1"/>
  <c r="K158" i="1"/>
  <c r="L158" i="1"/>
  <c r="I159" i="1"/>
  <c r="J159" i="1"/>
  <c r="K159" i="1"/>
  <c r="L159" i="1"/>
  <c r="I160" i="1"/>
  <c r="J160" i="1"/>
  <c r="K160" i="1"/>
  <c r="L160" i="1"/>
  <c r="I161" i="1"/>
  <c r="J161" i="1"/>
  <c r="K161" i="1"/>
  <c r="L161" i="1"/>
  <c r="I162" i="1"/>
  <c r="J162" i="1"/>
  <c r="K162" i="1"/>
  <c r="L162" i="1"/>
  <c r="I163" i="1"/>
  <c r="J163" i="1"/>
  <c r="K163" i="1"/>
  <c r="L163" i="1"/>
  <c r="I164" i="1"/>
  <c r="J164" i="1"/>
  <c r="K164" i="1"/>
  <c r="L164" i="1"/>
  <c r="I165" i="1"/>
  <c r="J165" i="1"/>
  <c r="K165" i="1"/>
  <c r="L165" i="1"/>
  <c r="I166" i="1"/>
  <c r="J166" i="1"/>
  <c r="K166" i="1"/>
  <c r="L166" i="1"/>
  <c r="I167" i="1"/>
  <c r="J167" i="1"/>
  <c r="K167" i="1"/>
  <c r="L167" i="1"/>
  <c r="I168" i="1"/>
  <c r="J168" i="1"/>
  <c r="K168" i="1"/>
  <c r="L168" i="1"/>
  <c r="I169" i="1"/>
  <c r="J169" i="1"/>
  <c r="K169" i="1"/>
  <c r="L169" i="1"/>
  <c r="I170" i="1"/>
  <c r="J170" i="1"/>
  <c r="K170" i="1"/>
  <c r="L170" i="1"/>
  <c r="I171" i="1"/>
  <c r="J171" i="1"/>
  <c r="K171" i="1"/>
  <c r="L171" i="1"/>
  <c r="I172" i="1"/>
  <c r="J172" i="1"/>
  <c r="K172" i="1"/>
  <c r="L172" i="1"/>
  <c r="I173" i="1"/>
  <c r="J173" i="1"/>
  <c r="K173" i="1"/>
  <c r="L173" i="1"/>
  <c r="I174" i="1"/>
  <c r="J174" i="1"/>
  <c r="K174" i="1"/>
  <c r="L174" i="1"/>
  <c r="I175" i="1"/>
  <c r="J175" i="1"/>
  <c r="K175" i="1"/>
  <c r="L175" i="1"/>
  <c r="I176" i="1"/>
  <c r="J176" i="1"/>
  <c r="K176" i="1"/>
  <c r="L176" i="1"/>
  <c r="I177" i="1"/>
  <c r="J177" i="1"/>
  <c r="K177" i="1"/>
  <c r="L177" i="1"/>
  <c r="I178" i="1"/>
  <c r="J178" i="1"/>
  <c r="K178" i="1"/>
  <c r="L178" i="1"/>
  <c r="I179" i="1"/>
  <c r="J179" i="1"/>
  <c r="K179" i="1"/>
  <c r="L179" i="1"/>
  <c r="I180" i="1"/>
  <c r="J180" i="1"/>
  <c r="K180" i="1"/>
  <c r="L180" i="1"/>
  <c r="I181" i="1"/>
  <c r="J181" i="1"/>
  <c r="K181" i="1"/>
  <c r="L181" i="1"/>
  <c r="I182" i="1"/>
  <c r="J182" i="1"/>
  <c r="K182" i="1"/>
  <c r="L182" i="1"/>
  <c r="I183" i="1"/>
  <c r="J183" i="1"/>
  <c r="K183" i="1"/>
  <c r="L183" i="1"/>
  <c r="I184" i="1"/>
  <c r="J184" i="1"/>
  <c r="K184" i="1"/>
  <c r="L184" i="1"/>
  <c r="I185" i="1"/>
  <c r="J185" i="1"/>
  <c r="K185" i="1"/>
  <c r="L185" i="1"/>
  <c r="I186" i="1"/>
  <c r="J186" i="1"/>
  <c r="K186" i="1"/>
  <c r="L186" i="1"/>
  <c r="I187" i="1"/>
  <c r="J187" i="1"/>
  <c r="K187" i="1"/>
  <c r="L187" i="1"/>
  <c r="I188" i="1"/>
  <c r="J188" i="1"/>
  <c r="K188" i="1"/>
  <c r="L188" i="1"/>
  <c r="I189" i="1"/>
  <c r="J189" i="1"/>
  <c r="K189" i="1"/>
  <c r="L189" i="1"/>
  <c r="I190" i="1"/>
  <c r="J190" i="1"/>
  <c r="K190" i="1"/>
  <c r="L190" i="1"/>
  <c r="I191" i="1"/>
  <c r="J191" i="1"/>
  <c r="K191" i="1"/>
  <c r="L191" i="1"/>
  <c r="I192" i="1"/>
  <c r="J192" i="1"/>
  <c r="K192" i="1"/>
  <c r="L192" i="1"/>
  <c r="I193" i="1"/>
  <c r="J193" i="1"/>
  <c r="K193" i="1"/>
  <c r="L193" i="1"/>
  <c r="I194" i="1"/>
  <c r="J194" i="1"/>
  <c r="K194" i="1"/>
  <c r="L194" i="1"/>
  <c r="I195" i="1"/>
  <c r="J195" i="1"/>
  <c r="K195" i="1"/>
  <c r="L195" i="1"/>
  <c r="I196" i="1"/>
  <c r="J196" i="1"/>
  <c r="K196" i="1"/>
  <c r="L196" i="1"/>
  <c r="I197" i="1"/>
  <c r="J197" i="1"/>
  <c r="K197" i="1"/>
  <c r="L197" i="1"/>
  <c r="L4" i="1"/>
  <c r="K4" i="1"/>
  <c r="J4" i="1"/>
  <c r="I4" i="1"/>
  <c r="E6" i="1"/>
  <c r="F6" i="1"/>
  <c r="E7" i="1"/>
  <c r="F7" i="1"/>
  <c r="E8" i="1"/>
  <c r="F8" i="1"/>
  <c r="G8" i="1" s="1"/>
  <c r="E9" i="1"/>
  <c r="F9" i="1"/>
  <c r="E10" i="1"/>
  <c r="F10" i="1"/>
  <c r="E11" i="1"/>
  <c r="F11" i="1"/>
  <c r="G11" i="1" s="1"/>
  <c r="E12" i="1"/>
  <c r="F12" i="1"/>
  <c r="G12" i="1" s="1"/>
  <c r="E13" i="1"/>
  <c r="F13" i="1"/>
  <c r="E14" i="1"/>
  <c r="F14" i="1"/>
  <c r="E15" i="1"/>
  <c r="F15" i="1"/>
  <c r="E16" i="1"/>
  <c r="F16" i="1"/>
  <c r="E17" i="1"/>
  <c r="H17" i="1" s="1"/>
  <c r="F17" i="1"/>
  <c r="G17" i="1" s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H25" i="1" s="1"/>
  <c r="F25" i="1"/>
  <c r="E26" i="1"/>
  <c r="F26" i="1"/>
  <c r="E27" i="1"/>
  <c r="H27" i="1" s="1"/>
  <c r="F27" i="1"/>
  <c r="E28" i="1"/>
  <c r="F28" i="1"/>
  <c r="G28" i="1" s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G36" i="1" s="1"/>
  <c r="E37" i="1"/>
  <c r="F37" i="1"/>
  <c r="E38" i="1"/>
  <c r="F38" i="1"/>
  <c r="E39" i="1"/>
  <c r="F39" i="1"/>
  <c r="E40" i="1"/>
  <c r="F40" i="1"/>
  <c r="G40" i="1" s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G54" i="1" s="1"/>
  <c r="H54" i="1"/>
  <c r="E55" i="1"/>
  <c r="F55" i="1"/>
  <c r="E56" i="1"/>
  <c r="F56" i="1"/>
  <c r="G56" i="1" s="1"/>
  <c r="E57" i="1"/>
  <c r="F57" i="1"/>
  <c r="E58" i="1"/>
  <c r="F58" i="1"/>
  <c r="E59" i="1"/>
  <c r="F59" i="1"/>
  <c r="E60" i="1"/>
  <c r="H60" i="1" s="1"/>
  <c r="F60" i="1"/>
  <c r="G60" i="1" s="1"/>
  <c r="E61" i="1"/>
  <c r="F61" i="1"/>
  <c r="E62" i="1"/>
  <c r="H62" i="1" s="1"/>
  <c r="F62" i="1"/>
  <c r="E63" i="1"/>
  <c r="F63" i="1"/>
  <c r="G63" i="1" s="1"/>
  <c r="E64" i="1"/>
  <c r="F64" i="1"/>
  <c r="E65" i="1"/>
  <c r="F65" i="1"/>
  <c r="E66" i="1"/>
  <c r="H66" i="1" s="1"/>
  <c r="F66" i="1"/>
  <c r="E67" i="1"/>
  <c r="F67" i="1"/>
  <c r="G67" i="1" s="1"/>
  <c r="E68" i="1"/>
  <c r="F68" i="1"/>
  <c r="E69" i="1"/>
  <c r="F69" i="1"/>
  <c r="E70" i="1"/>
  <c r="F70" i="1"/>
  <c r="E71" i="1"/>
  <c r="F71" i="1"/>
  <c r="G71" i="1" s="1"/>
  <c r="E72" i="1"/>
  <c r="F72" i="1"/>
  <c r="E73" i="1"/>
  <c r="F73" i="1"/>
  <c r="G73" i="1" s="1"/>
  <c r="E74" i="1"/>
  <c r="H74" i="1" s="1"/>
  <c r="F74" i="1"/>
  <c r="E75" i="1"/>
  <c r="F75" i="1"/>
  <c r="E76" i="1"/>
  <c r="F76" i="1"/>
  <c r="H76" i="1"/>
  <c r="E77" i="1"/>
  <c r="F77" i="1"/>
  <c r="E78" i="1"/>
  <c r="F78" i="1"/>
  <c r="G78" i="1" s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H104" i="1"/>
  <c r="E105" i="1"/>
  <c r="H105" i="1" s="1"/>
  <c r="F105" i="1"/>
  <c r="E106" i="1"/>
  <c r="F106" i="1"/>
  <c r="E107" i="1"/>
  <c r="G107" i="1" s="1"/>
  <c r="F107" i="1"/>
  <c r="E108" i="1"/>
  <c r="F108" i="1"/>
  <c r="E109" i="1"/>
  <c r="G109" i="1" s="1"/>
  <c r="F109" i="1"/>
  <c r="E110" i="1"/>
  <c r="F110" i="1"/>
  <c r="E111" i="1"/>
  <c r="G111" i="1" s="1"/>
  <c r="F111" i="1"/>
  <c r="E112" i="1"/>
  <c r="F112" i="1"/>
  <c r="E113" i="1"/>
  <c r="G113" i="1" s="1"/>
  <c r="F113" i="1"/>
  <c r="E114" i="1"/>
  <c r="F114" i="1"/>
  <c r="E115" i="1"/>
  <c r="G115" i="1" s="1"/>
  <c r="F115" i="1"/>
  <c r="E116" i="1"/>
  <c r="F116" i="1"/>
  <c r="E117" i="1"/>
  <c r="G117" i="1" s="1"/>
  <c r="F117" i="1"/>
  <c r="E118" i="1"/>
  <c r="F118" i="1"/>
  <c r="E119" i="1"/>
  <c r="G119" i="1" s="1"/>
  <c r="F119" i="1"/>
  <c r="E120" i="1"/>
  <c r="F120" i="1"/>
  <c r="E121" i="1"/>
  <c r="G121" i="1" s="1"/>
  <c r="F121" i="1"/>
  <c r="E122" i="1"/>
  <c r="F122" i="1"/>
  <c r="E123" i="1"/>
  <c r="G123" i="1" s="1"/>
  <c r="F123" i="1"/>
  <c r="E124" i="1"/>
  <c r="F124" i="1"/>
  <c r="E125" i="1"/>
  <c r="G125" i="1" s="1"/>
  <c r="F125" i="1"/>
  <c r="E126" i="1"/>
  <c r="F126" i="1"/>
  <c r="E127" i="1"/>
  <c r="G127" i="1" s="1"/>
  <c r="F127" i="1"/>
  <c r="E128" i="1"/>
  <c r="F128" i="1"/>
  <c r="E129" i="1"/>
  <c r="G129" i="1" s="1"/>
  <c r="F129" i="1"/>
  <c r="E130" i="1"/>
  <c r="F130" i="1"/>
  <c r="E131" i="1"/>
  <c r="G131" i="1" s="1"/>
  <c r="F131" i="1"/>
  <c r="E132" i="1"/>
  <c r="F132" i="1"/>
  <c r="E133" i="1"/>
  <c r="G133" i="1" s="1"/>
  <c r="F133" i="1"/>
  <c r="E134" i="1"/>
  <c r="F134" i="1"/>
  <c r="E135" i="1"/>
  <c r="G135" i="1" s="1"/>
  <c r="F135" i="1"/>
  <c r="E136" i="1"/>
  <c r="F136" i="1"/>
  <c r="E137" i="1"/>
  <c r="G137" i="1" s="1"/>
  <c r="F137" i="1"/>
  <c r="E138" i="1"/>
  <c r="F138" i="1"/>
  <c r="E139" i="1"/>
  <c r="G139" i="1" s="1"/>
  <c r="F139" i="1"/>
  <c r="E140" i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149" i="1"/>
  <c r="F149" i="1"/>
  <c r="E150" i="1"/>
  <c r="F150" i="1"/>
  <c r="E151" i="1"/>
  <c r="F151" i="1"/>
  <c r="E152" i="1"/>
  <c r="F152" i="1"/>
  <c r="E153" i="1"/>
  <c r="F153" i="1"/>
  <c r="E154" i="1"/>
  <c r="F154" i="1"/>
  <c r="E155" i="1"/>
  <c r="F155" i="1"/>
  <c r="E156" i="1"/>
  <c r="F156" i="1"/>
  <c r="E157" i="1"/>
  <c r="F157" i="1"/>
  <c r="E158" i="1"/>
  <c r="F158" i="1"/>
  <c r="E159" i="1"/>
  <c r="F159" i="1"/>
  <c r="E160" i="1"/>
  <c r="F160" i="1"/>
  <c r="E161" i="1"/>
  <c r="F161" i="1"/>
  <c r="E162" i="1"/>
  <c r="F162" i="1"/>
  <c r="E163" i="1"/>
  <c r="F163" i="1"/>
  <c r="E164" i="1"/>
  <c r="F164" i="1"/>
  <c r="E165" i="1"/>
  <c r="F165" i="1"/>
  <c r="E166" i="1"/>
  <c r="F166" i="1"/>
  <c r="E167" i="1"/>
  <c r="F167" i="1"/>
  <c r="E168" i="1"/>
  <c r="F168" i="1"/>
  <c r="E169" i="1"/>
  <c r="F169" i="1"/>
  <c r="E170" i="1"/>
  <c r="F170" i="1"/>
  <c r="E171" i="1"/>
  <c r="F171" i="1"/>
  <c r="E172" i="1"/>
  <c r="F172" i="1"/>
  <c r="E173" i="1"/>
  <c r="F173" i="1"/>
  <c r="E174" i="1"/>
  <c r="F174" i="1"/>
  <c r="E175" i="1"/>
  <c r="F175" i="1"/>
  <c r="E176" i="1"/>
  <c r="F176" i="1"/>
  <c r="E177" i="1"/>
  <c r="F177" i="1"/>
  <c r="E178" i="1"/>
  <c r="F178" i="1"/>
  <c r="E179" i="1"/>
  <c r="F179" i="1"/>
  <c r="E180" i="1"/>
  <c r="F180" i="1"/>
  <c r="E181" i="1"/>
  <c r="F181" i="1"/>
  <c r="E182" i="1"/>
  <c r="F182" i="1"/>
  <c r="E183" i="1"/>
  <c r="F183" i="1"/>
  <c r="E184" i="1"/>
  <c r="F184" i="1"/>
  <c r="E185" i="1"/>
  <c r="F185" i="1"/>
  <c r="E186" i="1"/>
  <c r="F186" i="1"/>
  <c r="E187" i="1"/>
  <c r="F187" i="1"/>
  <c r="E188" i="1"/>
  <c r="F188" i="1"/>
  <c r="E189" i="1"/>
  <c r="F189" i="1"/>
  <c r="E190" i="1"/>
  <c r="F190" i="1"/>
  <c r="E191" i="1"/>
  <c r="F191" i="1"/>
  <c r="E192" i="1"/>
  <c r="F192" i="1"/>
  <c r="E193" i="1"/>
  <c r="F193" i="1"/>
  <c r="E194" i="1"/>
  <c r="F194" i="1"/>
  <c r="E195" i="1"/>
  <c r="F195" i="1"/>
  <c r="E196" i="1"/>
  <c r="F196" i="1"/>
  <c r="E197" i="1"/>
  <c r="F197" i="1"/>
  <c r="E5" i="1"/>
  <c r="F5" i="1"/>
  <c r="F4" i="1"/>
  <c r="E4" i="1"/>
  <c r="H3" i="1" l="1"/>
  <c r="Q6" i="1"/>
  <c r="Q5" i="1" s="1"/>
  <c r="Q4" i="1" s="1"/>
  <c r="Q3" i="1" s="1"/>
  <c r="H9" i="1"/>
  <c r="H92" i="1"/>
  <c r="H88" i="1"/>
  <c r="G76" i="1"/>
  <c r="H52" i="1"/>
  <c r="H50" i="1"/>
  <c r="H48" i="1"/>
  <c r="H46" i="1"/>
  <c r="H42" i="1"/>
  <c r="H24" i="1"/>
  <c r="N197" i="1"/>
  <c r="H4" i="1"/>
  <c r="G197" i="1"/>
  <c r="G195" i="1"/>
  <c r="G193" i="1"/>
  <c r="G191" i="1"/>
  <c r="G189" i="1"/>
  <c r="G187" i="1"/>
  <c r="G185" i="1"/>
  <c r="G183" i="1"/>
  <c r="G181" i="1"/>
  <c r="G179" i="1"/>
  <c r="G177" i="1"/>
  <c r="G175" i="1"/>
  <c r="G173" i="1"/>
  <c r="G171" i="1"/>
  <c r="G169" i="1"/>
  <c r="G167" i="1"/>
  <c r="G165" i="1"/>
  <c r="G163" i="1"/>
  <c r="G161" i="1"/>
  <c r="G159" i="1"/>
  <c r="G157" i="1"/>
  <c r="G155" i="1"/>
  <c r="G153" i="1"/>
  <c r="G151" i="1"/>
  <c r="G149" i="1"/>
  <c r="G147" i="1"/>
  <c r="G145" i="1"/>
  <c r="G143" i="1"/>
  <c r="G141" i="1"/>
  <c r="H103" i="1"/>
  <c r="H99" i="1"/>
  <c r="H95" i="1"/>
  <c r="H87" i="1"/>
  <c r="H83" i="1"/>
  <c r="G81" i="1"/>
  <c r="G79" i="1"/>
  <c r="G72" i="1"/>
  <c r="G62" i="1"/>
  <c r="G51" i="1"/>
  <c r="G49" i="1"/>
  <c r="G47" i="1"/>
  <c r="G37" i="1"/>
  <c r="G29" i="1"/>
  <c r="G25" i="1"/>
  <c r="N189" i="1"/>
  <c r="G82" i="1"/>
  <c r="H80" i="1"/>
  <c r="H32" i="1"/>
  <c r="H89" i="1"/>
  <c r="H58" i="1"/>
  <c r="H21" i="1"/>
  <c r="N157" i="1"/>
  <c r="N81" i="1"/>
  <c r="G98" i="1"/>
  <c r="H70" i="1"/>
  <c r="G64" i="1"/>
  <c r="G59" i="1"/>
  <c r="G57" i="1"/>
  <c r="G55" i="1"/>
  <c r="G52" i="1"/>
  <c r="H35" i="1"/>
  <c r="G27" i="1"/>
  <c r="G24" i="1"/>
  <c r="G20" i="1"/>
  <c r="H13" i="1"/>
  <c r="G9" i="1"/>
  <c r="G7" i="1"/>
  <c r="M196" i="1"/>
  <c r="N194" i="1"/>
  <c r="M192" i="1"/>
  <c r="N191" i="1"/>
  <c r="M188" i="1"/>
  <c r="N186" i="1"/>
  <c r="M184" i="1"/>
  <c r="N183" i="1"/>
  <c r="M180" i="1"/>
  <c r="N179" i="1"/>
  <c r="M176" i="1"/>
  <c r="M172" i="1"/>
  <c r="M168" i="1"/>
  <c r="N165" i="1"/>
  <c r="M164" i="1"/>
  <c r="N163" i="1"/>
  <c r="M160" i="1"/>
  <c r="N158" i="1"/>
  <c r="M156" i="1"/>
  <c r="N154" i="1"/>
  <c r="M152" i="1"/>
  <c r="N149" i="1"/>
  <c r="M148" i="1"/>
  <c r="N146" i="1"/>
  <c r="M144" i="1"/>
  <c r="M140" i="1"/>
  <c r="N137" i="1"/>
  <c r="M136" i="1"/>
  <c r="N135" i="1"/>
  <c r="M132" i="1"/>
  <c r="M128" i="1"/>
  <c r="N127" i="1"/>
  <c r="N125" i="1"/>
  <c r="M124" i="1"/>
  <c r="N121" i="1"/>
  <c r="M120" i="1"/>
  <c r="M116" i="1"/>
  <c r="N113" i="1"/>
  <c r="M112" i="1"/>
  <c r="N109" i="1"/>
  <c r="M108" i="1"/>
  <c r="N105" i="1"/>
  <c r="M104" i="1"/>
  <c r="N103" i="1"/>
  <c r="M100" i="1"/>
  <c r="N97" i="1"/>
  <c r="M96" i="1"/>
  <c r="M92" i="1"/>
  <c r="N89" i="1"/>
  <c r="M88" i="1"/>
  <c r="N87" i="1"/>
  <c r="M84" i="1"/>
  <c r="M80" i="1"/>
  <c r="M76" i="1"/>
  <c r="M72" i="1"/>
  <c r="M68" i="1"/>
  <c r="N65" i="1"/>
  <c r="M64" i="1"/>
  <c r="M60" i="1"/>
  <c r="M56" i="1"/>
  <c r="N54" i="1"/>
  <c r="M52" i="1"/>
  <c r="N50" i="1"/>
  <c r="N49" i="1"/>
  <c r="M48" i="1"/>
  <c r="N47" i="1"/>
  <c r="M44" i="1"/>
  <c r="N43" i="1"/>
  <c r="M40" i="1"/>
  <c r="N37" i="1"/>
  <c r="N33" i="1"/>
  <c r="M32" i="1"/>
  <c r="M28" i="1"/>
  <c r="N26" i="1"/>
  <c r="M24" i="1"/>
  <c r="N23" i="1"/>
  <c r="M20" i="1"/>
  <c r="N19" i="1"/>
  <c r="M16" i="1"/>
  <c r="N13" i="1"/>
  <c r="M12" i="1"/>
  <c r="N11" i="1"/>
  <c r="M8" i="1"/>
  <c r="N5" i="1"/>
  <c r="G44" i="1"/>
  <c r="H44" i="1"/>
  <c r="G84" i="1"/>
  <c r="H84" i="1"/>
  <c r="G19" i="1"/>
  <c r="H19" i="1"/>
  <c r="N190" i="1"/>
  <c r="N182" i="1"/>
  <c r="N174" i="1"/>
  <c r="N173" i="1"/>
  <c r="N171" i="1"/>
  <c r="N167" i="1"/>
  <c r="N166" i="1"/>
  <c r="N161" i="1"/>
  <c r="N155" i="1"/>
  <c r="N145" i="1"/>
  <c r="N143" i="1"/>
  <c r="N142" i="1"/>
  <c r="N141" i="1"/>
  <c r="N139" i="1"/>
  <c r="N138" i="1"/>
  <c r="N134" i="1"/>
  <c r="N133" i="1"/>
  <c r="N131" i="1"/>
  <c r="N129" i="1"/>
  <c r="N126" i="1"/>
  <c r="N123" i="1"/>
  <c r="N122" i="1"/>
  <c r="N119" i="1"/>
  <c r="N118" i="1"/>
  <c r="N117" i="1"/>
  <c r="G16" i="1"/>
  <c r="H16" i="1"/>
  <c r="H78" i="1"/>
  <c r="N195" i="1"/>
  <c r="N193" i="1"/>
  <c r="N187" i="1"/>
  <c r="N185" i="1"/>
  <c r="N181" i="1"/>
  <c r="N178" i="1"/>
  <c r="N177" i="1"/>
  <c r="N175" i="1"/>
  <c r="N170" i="1"/>
  <c r="N169" i="1"/>
  <c r="N162" i="1"/>
  <c r="N159" i="1"/>
  <c r="N153" i="1"/>
  <c r="N151" i="1"/>
  <c r="N150" i="1"/>
  <c r="N147" i="1"/>
  <c r="N130" i="1"/>
  <c r="G41" i="1"/>
  <c r="H41" i="1"/>
  <c r="G33" i="1"/>
  <c r="H33" i="1"/>
  <c r="N115" i="1"/>
  <c r="N114" i="1"/>
  <c r="N111" i="1"/>
  <c r="N110" i="1"/>
  <c r="N94" i="1"/>
  <c r="N93" i="1"/>
  <c r="N78" i="1"/>
  <c r="N77" i="1"/>
  <c r="N75" i="1"/>
  <c r="N74" i="1"/>
  <c r="N73" i="1"/>
  <c r="N71" i="1"/>
  <c r="N70" i="1"/>
  <c r="N69" i="1"/>
  <c r="N58" i="1"/>
  <c r="N57" i="1"/>
  <c r="N51" i="1"/>
  <c r="N46" i="1"/>
  <c r="N42" i="1"/>
  <c r="N41" i="1"/>
  <c r="N35" i="1"/>
  <c r="N34" i="1"/>
  <c r="N31" i="1"/>
  <c r="N29" i="1"/>
  <c r="N22" i="1"/>
  <c r="N18" i="1"/>
  <c r="N17" i="1"/>
  <c r="N10" i="1"/>
  <c r="N9" i="1"/>
  <c r="G68" i="1"/>
  <c r="H68" i="1"/>
  <c r="H56" i="1"/>
  <c r="H8" i="1"/>
  <c r="N196" i="1"/>
  <c r="N192" i="1"/>
  <c r="N188" i="1"/>
  <c r="N184" i="1"/>
  <c r="N180" i="1"/>
  <c r="N176" i="1"/>
  <c r="N172" i="1"/>
  <c r="N168" i="1"/>
  <c r="N164" i="1"/>
  <c r="N160" i="1"/>
  <c r="N156" i="1"/>
  <c r="N152" i="1"/>
  <c r="N148" i="1"/>
  <c r="N144" i="1"/>
  <c r="N140" i="1"/>
  <c r="N136" i="1"/>
  <c r="N132" i="1"/>
  <c r="N128" i="1"/>
  <c r="N124" i="1"/>
  <c r="N120" i="1"/>
  <c r="N116" i="1"/>
  <c r="N112" i="1"/>
  <c r="N108" i="1"/>
  <c r="N104" i="1"/>
  <c r="N100" i="1"/>
  <c r="N96" i="1"/>
  <c r="N92" i="1"/>
  <c r="N88" i="1"/>
  <c r="N84" i="1"/>
  <c r="N80" i="1"/>
  <c r="N76" i="1"/>
  <c r="N72" i="1"/>
  <c r="N68" i="1"/>
  <c r="N64" i="1"/>
  <c r="N60" i="1"/>
  <c r="N56" i="1"/>
  <c r="N52" i="1"/>
  <c r="N48" i="1"/>
  <c r="N44" i="1"/>
  <c r="N40" i="1"/>
  <c r="N36" i="1"/>
  <c r="N32" i="1"/>
  <c r="N28" i="1"/>
  <c r="N24" i="1"/>
  <c r="N20" i="1"/>
  <c r="N16" i="1"/>
  <c r="N12" i="1"/>
  <c r="N8" i="1"/>
  <c r="N107" i="1"/>
  <c r="N106" i="1"/>
  <c r="N102" i="1"/>
  <c r="N101" i="1"/>
  <c r="N99" i="1"/>
  <c r="N98" i="1"/>
  <c r="N95" i="1"/>
  <c r="N91" i="1"/>
  <c r="N90" i="1"/>
  <c r="N86" i="1"/>
  <c r="N85" i="1"/>
  <c r="N83" i="1"/>
  <c r="N82" i="1"/>
  <c r="N79" i="1"/>
  <c r="N67" i="1"/>
  <c r="N66" i="1"/>
  <c r="N63" i="1"/>
  <c r="N62" i="1"/>
  <c r="N61" i="1"/>
  <c r="N59" i="1"/>
  <c r="N55" i="1"/>
  <c r="N53" i="1"/>
  <c r="N45" i="1"/>
  <c r="N39" i="1"/>
  <c r="N38" i="1"/>
  <c r="N30" i="1"/>
  <c r="N27" i="1"/>
  <c r="N25" i="1"/>
  <c r="N21" i="1"/>
  <c r="N15" i="1"/>
  <c r="N14" i="1"/>
  <c r="N7" i="1"/>
  <c r="N6" i="1"/>
  <c r="G100" i="1"/>
  <c r="H100" i="1"/>
  <c r="G96" i="1"/>
  <c r="H96" i="1"/>
  <c r="G94" i="1"/>
  <c r="H85" i="1"/>
  <c r="G46" i="1"/>
  <c r="H40" i="1"/>
  <c r="G21" i="1"/>
  <c r="H11" i="1"/>
  <c r="H101" i="1"/>
  <c r="G92" i="1"/>
  <c r="G90" i="1"/>
  <c r="H64" i="1"/>
  <c r="H29" i="1"/>
  <c r="M4" i="1"/>
  <c r="N4" i="1"/>
  <c r="G196" i="1"/>
  <c r="G194" i="1"/>
  <c r="G192" i="1"/>
  <c r="G190" i="1"/>
  <c r="G188" i="1"/>
  <c r="G186" i="1"/>
  <c r="G184" i="1"/>
  <c r="G182" i="1"/>
  <c r="G180" i="1"/>
  <c r="G178" i="1"/>
  <c r="G176" i="1"/>
  <c r="G174" i="1"/>
  <c r="G172" i="1"/>
  <c r="G170" i="1"/>
  <c r="G168" i="1"/>
  <c r="G166" i="1"/>
  <c r="G164" i="1"/>
  <c r="G162" i="1"/>
  <c r="G160" i="1"/>
  <c r="G158" i="1"/>
  <c r="G156" i="1"/>
  <c r="G154" i="1"/>
  <c r="G152" i="1"/>
  <c r="G150" i="1"/>
  <c r="G148" i="1"/>
  <c r="G146" i="1"/>
  <c r="G144" i="1"/>
  <c r="G142" i="1"/>
  <c r="G140" i="1"/>
  <c r="G138" i="1"/>
  <c r="G136" i="1"/>
  <c r="G134" i="1"/>
  <c r="G132" i="1"/>
  <c r="G130" i="1"/>
  <c r="G128" i="1"/>
  <c r="G126" i="1"/>
  <c r="G124" i="1"/>
  <c r="G122" i="1"/>
  <c r="G120" i="1"/>
  <c r="G118" i="1"/>
  <c r="G116" i="1"/>
  <c r="G114" i="1"/>
  <c r="G112" i="1"/>
  <c r="G110" i="1"/>
  <c r="G108" i="1"/>
  <c r="G106" i="1"/>
  <c r="H97" i="1"/>
  <c r="G80" i="1"/>
  <c r="G75" i="1"/>
  <c r="H72" i="1"/>
  <c r="G70" i="1"/>
  <c r="G65" i="1"/>
  <c r="G48" i="1"/>
  <c r="G43" i="1"/>
  <c r="H37" i="1"/>
  <c r="G35" i="1"/>
  <c r="G32" i="1"/>
  <c r="G13" i="1"/>
  <c r="H7" i="1"/>
  <c r="G4" i="1"/>
  <c r="G104" i="1"/>
  <c r="G102" i="1"/>
  <c r="H93" i="1"/>
  <c r="H91" i="1"/>
  <c r="G88" i="1"/>
  <c r="G86" i="1"/>
  <c r="G77" i="1"/>
  <c r="G74" i="1"/>
  <c r="G69" i="1"/>
  <c r="G66" i="1"/>
  <c r="G61" i="1"/>
  <c r="G58" i="1"/>
  <c r="G53" i="1"/>
  <c r="G50" i="1"/>
  <c r="G45" i="1"/>
  <c r="G42" i="1"/>
  <c r="G39" i="1"/>
  <c r="G31" i="1"/>
  <c r="G23" i="1"/>
  <c r="G15" i="1"/>
  <c r="M36" i="1"/>
  <c r="G14" i="1"/>
  <c r="H14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G103" i="1"/>
  <c r="G99" i="1"/>
  <c r="G95" i="1"/>
  <c r="G91" i="1"/>
  <c r="G87" i="1"/>
  <c r="G83" i="1"/>
  <c r="H81" i="1"/>
  <c r="H77" i="1"/>
  <c r="H73" i="1"/>
  <c r="H69" i="1"/>
  <c r="H65" i="1"/>
  <c r="H61" i="1"/>
  <c r="H57" i="1"/>
  <c r="H53" i="1"/>
  <c r="H49" i="1"/>
  <c r="H45" i="1"/>
  <c r="G34" i="1"/>
  <c r="H34" i="1"/>
  <c r="H31" i="1"/>
  <c r="H28" i="1"/>
  <c r="G18" i="1"/>
  <c r="H18" i="1"/>
  <c r="H15" i="1"/>
  <c r="H12" i="1"/>
  <c r="G30" i="1"/>
  <c r="H30" i="1"/>
  <c r="H102" i="1"/>
  <c r="H98" i="1"/>
  <c r="H94" i="1"/>
  <c r="H90" i="1"/>
  <c r="H86" i="1"/>
  <c r="H82" i="1"/>
  <c r="G38" i="1"/>
  <c r="H38" i="1"/>
  <c r="G22" i="1"/>
  <c r="H22" i="1"/>
  <c r="G6" i="1"/>
  <c r="H6" i="1"/>
  <c r="H5" i="1"/>
  <c r="G105" i="1"/>
  <c r="G101" i="1"/>
  <c r="G97" i="1"/>
  <c r="G93" i="1"/>
  <c r="G89" i="1"/>
  <c r="G85" i="1"/>
  <c r="H79" i="1"/>
  <c r="H75" i="1"/>
  <c r="H71" i="1"/>
  <c r="H67" i="1"/>
  <c r="H63" i="1"/>
  <c r="H59" i="1"/>
  <c r="H55" i="1"/>
  <c r="H51" i="1"/>
  <c r="H47" i="1"/>
  <c r="H43" i="1"/>
  <c r="H39" i="1"/>
  <c r="H36" i="1"/>
  <c r="G26" i="1"/>
  <c r="H26" i="1"/>
  <c r="H23" i="1"/>
  <c r="H20" i="1"/>
  <c r="G10" i="1"/>
  <c r="H10" i="1"/>
  <c r="M197" i="1"/>
  <c r="M195" i="1"/>
  <c r="M194" i="1"/>
  <c r="M193" i="1"/>
  <c r="M191" i="1"/>
  <c r="M190" i="1"/>
  <c r="M189" i="1"/>
  <c r="M187" i="1"/>
  <c r="M186" i="1"/>
  <c r="M185" i="1"/>
  <c r="M183" i="1"/>
  <c r="M182" i="1"/>
  <c r="M181" i="1"/>
  <c r="M179" i="1"/>
  <c r="M178" i="1"/>
  <c r="M177" i="1"/>
  <c r="M175" i="1"/>
  <c r="M174" i="1"/>
  <c r="M173" i="1"/>
  <c r="M171" i="1"/>
  <c r="M170" i="1"/>
  <c r="M169" i="1"/>
  <c r="M167" i="1"/>
  <c r="M166" i="1"/>
  <c r="M165" i="1"/>
  <c r="M163" i="1"/>
  <c r="M162" i="1"/>
  <c r="M161" i="1"/>
  <c r="M159" i="1"/>
  <c r="M158" i="1"/>
  <c r="M157" i="1"/>
  <c r="M155" i="1"/>
  <c r="M154" i="1"/>
  <c r="M153" i="1"/>
  <c r="M151" i="1"/>
  <c r="M150" i="1"/>
  <c r="M149" i="1"/>
  <c r="M147" i="1"/>
  <c r="M146" i="1"/>
  <c r="M145" i="1"/>
  <c r="M143" i="1"/>
  <c r="M142" i="1"/>
  <c r="M141" i="1"/>
  <c r="M139" i="1"/>
  <c r="M138" i="1"/>
  <c r="M137" i="1"/>
  <c r="M135" i="1"/>
  <c r="M134" i="1"/>
  <c r="M133" i="1"/>
  <c r="M131" i="1"/>
  <c r="M130" i="1"/>
  <c r="M129" i="1"/>
  <c r="M127" i="1"/>
  <c r="M126" i="1"/>
  <c r="M125" i="1"/>
  <c r="M123" i="1"/>
  <c r="M122" i="1"/>
  <c r="M121" i="1"/>
  <c r="M119" i="1"/>
  <c r="M118" i="1"/>
  <c r="M117" i="1"/>
  <c r="M115" i="1"/>
  <c r="M114" i="1"/>
  <c r="M113" i="1"/>
  <c r="M111" i="1"/>
  <c r="M110" i="1"/>
  <c r="M109" i="1"/>
  <c r="M107" i="1"/>
  <c r="M106" i="1"/>
  <c r="M105" i="1"/>
  <c r="M103" i="1"/>
  <c r="M102" i="1"/>
  <c r="M101" i="1"/>
  <c r="M99" i="1"/>
  <c r="M98" i="1"/>
  <c r="M97" i="1"/>
  <c r="M95" i="1"/>
  <c r="M94" i="1"/>
  <c r="M93" i="1"/>
  <c r="M91" i="1"/>
  <c r="M90" i="1"/>
  <c r="M89" i="1"/>
  <c r="M87" i="1"/>
  <c r="M86" i="1"/>
  <c r="M85" i="1"/>
  <c r="M83" i="1"/>
  <c r="M82" i="1"/>
  <c r="M81" i="1"/>
  <c r="M79" i="1"/>
  <c r="M78" i="1"/>
  <c r="M77" i="1"/>
  <c r="M75" i="1"/>
  <c r="M74" i="1"/>
  <c r="M73" i="1"/>
  <c r="M71" i="1"/>
  <c r="M70" i="1"/>
  <c r="M69" i="1"/>
  <c r="M67" i="1"/>
  <c r="M66" i="1"/>
  <c r="M65" i="1"/>
  <c r="M63" i="1"/>
  <c r="M62" i="1"/>
  <c r="M61" i="1"/>
  <c r="M59" i="1"/>
  <c r="M58" i="1"/>
  <c r="M57" i="1"/>
  <c r="M55" i="1"/>
  <c r="M54" i="1"/>
  <c r="M53" i="1"/>
  <c r="M51" i="1"/>
  <c r="M50" i="1"/>
  <c r="M49" i="1"/>
  <c r="M47" i="1"/>
  <c r="M46" i="1"/>
  <c r="M45" i="1"/>
  <c r="M43" i="1"/>
  <c r="M42" i="1"/>
  <c r="M41" i="1"/>
  <c r="M39" i="1"/>
  <c r="M38" i="1"/>
  <c r="M37" i="1"/>
  <c r="M35" i="1"/>
  <c r="M34" i="1"/>
  <c r="M33" i="1"/>
  <c r="M31" i="1"/>
  <c r="M30" i="1"/>
  <c r="M29" i="1"/>
  <c r="M27" i="1"/>
  <c r="M26" i="1"/>
  <c r="M25" i="1"/>
  <c r="M23" i="1"/>
  <c r="M22" i="1"/>
  <c r="M21" i="1"/>
  <c r="M19" i="1"/>
  <c r="M18" i="1"/>
  <c r="M17" i="1"/>
  <c r="M15" i="1"/>
  <c r="M14" i="1"/>
  <c r="M13" i="1"/>
  <c r="M11" i="1"/>
  <c r="M10" i="1"/>
  <c r="M9" i="1"/>
  <c r="M7" i="1"/>
  <c r="M6" i="1"/>
  <c r="M5" i="1"/>
  <c r="G5" i="1"/>
</calcChain>
</file>

<file path=xl/sharedStrings.xml><?xml version="1.0" encoding="utf-8"?>
<sst xmlns="http://schemas.openxmlformats.org/spreadsheetml/2006/main" count="230" uniqueCount="230">
  <si>
    <t>統一奔騰基金</t>
  </si>
  <si>
    <t>日期</t>
  </si>
  <si>
    <t>115/10/22</t>
  </si>
  <si>
    <t>115/10/21</t>
  </si>
  <si>
    <t>115/10/20</t>
  </si>
  <si>
    <t>115/10/19</t>
  </si>
  <si>
    <t>115/10/16</t>
  </si>
  <si>
    <t>115/10/15</t>
  </si>
  <si>
    <t>115/10/14</t>
  </si>
  <si>
    <t>115/10/13</t>
  </si>
  <si>
    <t>115/10/12</t>
  </si>
  <si>
    <t>115/10/08</t>
  </si>
  <si>
    <t>115/10/07</t>
  </si>
  <si>
    <t>115/10/06</t>
  </si>
  <si>
    <t>115/10/05</t>
  </si>
  <si>
    <t>115/10/02</t>
  </si>
  <si>
    <t>115/10/01</t>
  </si>
  <si>
    <t>115/09/30</t>
  </si>
  <si>
    <t>115/09/29</t>
  </si>
  <si>
    <t>115/09/24</t>
  </si>
  <si>
    <t>115/09/23</t>
  </si>
  <si>
    <t>115/09/22</t>
  </si>
  <si>
    <t>115/09/21</t>
  </si>
  <si>
    <t>115/09/18</t>
  </si>
  <si>
    <t>115/09/17</t>
  </si>
  <si>
    <t>115/09/16</t>
  </si>
  <si>
    <t>115/09/15</t>
  </si>
  <si>
    <t>115/09/14</t>
  </si>
  <si>
    <t>115/09/11</t>
  </si>
  <si>
    <t>115/09/10</t>
  </si>
  <si>
    <t>115/09/09</t>
  </si>
  <si>
    <t>115/09/08</t>
  </si>
  <si>
    <t>115/09/07</t>
  </si>
  <si>
    <t>115/09/04</t>
  </si>
  <si>
    <t>115/09/03</t>
  </si>
  <si>
    <t>115/09/02</t>
  </si>
  <si>
    <t>115/09/01</t>
  </si>
  <si>
    <t>115/08/31</t>
  </si>
  <si>
    <t>115/08/28</t>
  </si>
  <si>
    <t>115/08/27</t>
  </si>
  <si>
    <t>115/08/26</t>
  </si>
  <si>
    <t>115/08/25</t>
  </si>
  <si>
    <t>115/08/24</t>
  </si>
  <si>
    <t>115/08/21</t>
  </si>
  <si>
    <t>115/08/20</t>
  </si>
  <si>
    <t>115/08/19</t>
  </si>
  <si>
    <t>115/08/18</t>
  </si>
  <si>
    <t>115/08/17</t>
  </si>
  <si>
    <t>115/08/14</t>
  </si>
  <si>
    <t>115/08/13</t>
  </si>
  <si>
    <t>115/08/12</t>
  </si>
  <si>
    <t>115/08/11</t>
  </si>
  <si>
    <t>115/08/10</t>
  </si>
  <si>
    <t>115/08/07</t>
  </si>
  <si>
    <t>115/08/06</t>
  </si>
  <si>
    <t>115/08/05</t>
  </si>
  <si>
    <t>115/08/04</t>
  </si>
  <si>
    <t>115/08/03</t>
  </si>
  <si>
    <t>115/07/31</t>
  </si>
  <si>
    <t>115/07/30</t>
  </si>
  <si>
    <t>115/07/29</t>
  </si>
  <si>
    <t>115/07/28</t>
  </si>
  <si>
    <t>115/07/27</t>
  </si>
  <si>
    <t>115/07/24</t>
  </si>
  <si>
    <t>115/07/23</t>
  </si>
  <si>
    <t>115/07/22</t>
  </si>
  <si>
    <t>115/07/21</t>
  </si>
  <si>
    <t>115/07/20</t>
  </si>
  <si>
    <t>115/07/17</t>
  </si>
  <si>
    <t>115/07/16</t>
  </si>
  <si>
    <t>115/07/15</t>
  </si>
  <si>
    <t>115/07/14</t>
  </si>
  <si>
    <t>115/07/13</t>
  </si>
  <si>
    <t>115/07/09</t>
  </si>
  <si>
    <t>115/07/08</t>
  </si>
  <si>
    <t>115/07/07</t>
  </si>
  <si>
    <t>115/07/06</t>
  </si>
  <si>
    <t>115/07/03</t>
  </si>
  <si>
    <t>115/07/02</t>
  </si>
  <si>
    <t>115/07/01</t>
  </si>
  <si>
    <t>115/06/30</t>
  </si>
  <si>
    <t>115/06/29</t>
  </si>
  <si>
    <t>115/06/26</t>
  </si>
  <si>
    <t>115/06/25</t>
  </si>
  <si>
    <t>115/06/24</t>
  </si>
  <si>
    <t>115/06/23</t>
  </si>
  <si>
    <t>115/06/22</t>
  </si>
  <si>
    <t>115/06/18</t>
  </si>
  <si>
    <t>115/06/17</t>
  </si>
  <si>
    <t>115/06/16</t>
  </si>
  <si>
    <t>115/06/15</t>
  </si>
  <si>
    <t>115/06/12</t>
  </si>
  <si>
    <t>115/06/11</t>
  </si>
  <si>
    <t>115/06/10</t>
  </si>
  <si>
    <t>115/06/09</t>
  </si>
  <si>
    <t>115/06/08</t>
  </si>
  <si>
    <t>115/06/05</t>
  </si>
  <si>
    <t>115/06/04</t>
  </si>
  <si>
    <t>115/06/03</t>
  </si>
  <si>
    <t>115/06/02</t>
  </si>
  <si>
    <t>115/06/01</t>
  </si>
  <si>
    <t>115/05/29</t>
  </si>
  <si>
    <t>115/05/28</t>
  </si>
  <si>
    <t>115/05/27</t>
  </si>
  <si>
    <t>115/05/26</t>
  </si>
  <si>
    <t>115/05/25</t>
  </si>
  <si>
    <t>115/05/22</t>
  </si>
  <si>
    <t>115/05/21</t>
  </si>
  <si>
    <t>115/05/20</t>
  </si>
  <si>
    <t>115/05/19</t>
  </si>
  <si>
    <t>115/05/18</t>
  </si>
  <si>
    <t>115/05/15</t>
  </si>
  <si>
    <t>115/05/14</t>
  </si>
  <si>
    <t>115/05/13</t>
  </si>
  <si>
    <t>115/05/12</t>
  </si>
  <si>
    <t>115/05/11</t>
  </si>
  <si>
    <t>115/05/08</t>
  </si>
  <si>
    <t>115/05/07</t>
  </si>
  <si>
    <t>115/05/06</t>
  </si>
  <si>
    <t>115/05/05</t>
  </si>
  <si>
    <t>115/05/04</t>
  </si>
  <si>
    <t>115/04/30</t>
  </si>
  <si>
    <t>115/04/29</t>
  </si>
  <si>
    <t>115/04/28</t>
  </si>
  <si>
    <t>115/04/27</t>
  </si>
  <si>
    <t>115/04/24</t>
  </si>
  <si>
    <t>115/04/23</t>
  </si>
  <si>
    <t>115/04/22</t>
  </si>
  <si>
    <t>115/04/21</t>
  </si>
  <si>
    <t>115/04/20</t>
  </si>
  <si>
    <t>115/04/17</t>
  </si>
  <si>
    <t>115/04/16</t>
  </si>
  <si>
    <t>115/04/15</t>
  </si>
  <si>
    <t>115/04/14</t>
  </si>
  <si>
    <t>115/04/13</t>
  </si>
  <si>
    <t>115/04/10</t>
  </si>
  <si>
    <t>115/04/09</t>
  </si>
  <si>
    <t>115/04/08</t>
  </si>
  <si>
    <t>115/04/07</t>
  </si>
  <si>
    <t>115/04/02</t>
  </si>
  <si>
    <t>115/04/01</t>
  </si>
  <si>
    <t>115/03/31</t>
  </si>
  <si>
    <t>115/03/30</t>
  </si>
  <si>
    <t>115/03/27</t>
  </si>
  <si>
    <t>115/03/26</t>
  </si>
  <si>
    <t>115/03/25</t>
  </si>
  <si>
    <t>115/03/24</t>
  </si>
  <si>
    <t>115/03/23</t>
  </si>
  <si>
    <t>115/03/20</t>
  </si>
  <si>
    <t>115/03/19</t>
  </si>
  <si>
    <t>115/03/18</t>
  </si>
  <si>
    <t>115/03/17</t>
  </si>
  <si>
    <t>115/03/16</t>
  </si>
  <si>
    <t>115/03/13</t>
  </si>
  <si>
    <t>115/03/12</t>
  </si>
  <si>
    <t>115/03/11</t>
  </si>
  <si>
    <t>115/03/10</t>
  </si>
  <si>
    <t>115/03/09</t>
  </si>
  <si>
    <t>115/03/06</t>
  </si>
  <si>
    <t>115/03/05</t>
  </si>
  <si>
    <t>115/03/04</t>
  </si>
  <si>
    <t>115/03/03</t>
  </si>
  <si>
    <t>115/03/02</t>
  </si>
  <si>
    <t>115/02/26</t>
  </si>
  <si>
    <t>115/02/25</t>
  </si>
  <si>
    <t>115/02/24</t>
  </si>
  <si>
    <t>115/02/23</t>
  </si>
  <si>
    <t>115/02/11</t>
  </si>
  <si>
    <t>115/02/10</t>
  </si>
  <si>
    <t>115/02/09</t>
  </si>
  <si>
    <t>115/02/06</t>
  </si>
  <si>
    <t>115/02/05</t>
  </si>
  <si>
    <t>115/02/04</t>
  </si>
  <si>
    <t>115/02/03</t>
  </si>
  <si>
    <t>115/02/02</t>
  </si>
  <si>
    <t>115/01/30</t>
  </si>
  <si>
    <t>115/01/29</t>
  </si>
  <si>
    <t>115/01/28</t>
  </si>
  <si>
    <t>115/01/27</t>
  </si>
  <si>
    <t>115/01/26</t>
  </si>
  <si>
    <t>115/01/23</t>
  </si>
  <si>
    <t>115/01/22</t>
  </si>
  <si>
    <t>115/01/21</t>
  </si>
  <si>
    <t>115/01/20</t>
  </si>
  <si>
    <t>115/01/19</t>
  </si>
  <si>
    <t>115/01/16</t>
  </si>
  <si>
    <t>115/01/15</t>
  </si>
  <si>
    <t>115/01/14</t>
  </si>
  <si>
    <t>115/01/13</t>
  </si>
  <si>
    <t>115/01/12</t>
  </si>
  <si>
    <t>115/01/09</t>
  </si>
  <si>
    <t>115/01/08</t>
  </si>
  <si>
    <t>115/01/07</t>
  </si>
  <si>
    <t>115/01/06</t>
  </si>
  <si>
    <t>115/01/05</t>
  </si>
  <si>
    <t>115/01/02</t>
  </si>
  <si>
    <t>5MA</t>
    <phoneticPr fontId="4" type="noConversion"/>
  </si>
  <si>
    <t>10MA</t>
    <phoneticPr fontId="4" type="noConversion"/>
  </si>
  <si>
    <t>20MA</t>
    <phoneticPr fontId="4" type="noConversion"/>
  </si>
  <si>
    <t>60MA</t>
    <phoneticPr fontId="4" type="noConversion"/>
  </si>
  <si>
    <t>標準差
 (波動度)</t>
    <phoneticPr fontId="4" type="noConversion"/>
  </si>
  <si>
    <t>20日平均
 (中軌)</t>
    <phoneticPr fontId="4" type="noConversion"/>
  </si>
  <si>
    <t>布林上軌 
(天花板)</t>
    <phoneticPr fontId="4" type="noConversion"/>
  </si>
  <si>
    <t>布林下軌 
(地板)</t>
    <phoneticPr fontId="4" type="noConversion"/>
  </si>
  <si>
    <t>基金
漲跌幅</t>
    <phoneticPr fontId="4" type="noConversion"/>
  </si>
  <si>
    <t>基金
漲跌</t>
    <phoneticPr fontId="4" type="noConversion"/>
  </si>
  <si>
    <t>基金
淨值</t>
    <phoneticPr fontId="4" type="noConversion"/>
  </si>
  <si>
    <t>均線排列</t>
  </si>
  <si>
    <t>均線排列</t>
    <phoneticPr fontId="4" type="noConversion"/>
  </si>
  <si>
    <t>多頭排列</t>
  </si>
  <si>
    <t>進攻隊形，股票大漲</t>
  </si>
  <si>
    <t>空頭排列</t>
  </si>
  <si>
    <t>撤退隊形，股票跌慘</t>
  </si>
  <si>
    <t>震盪整理</t>
  </si>
  <si>
    <t>打結隊形，忽上忽下看不懂</t>
  </si>
  <si>
    <t>MA5跑最前面 &gt;MA10在中間 &gt; MA20在後面</t>
    <phoneticPr fontId="4" type="noConversion"/>
  </si>
  <si>
    <t>MA5摔在最下面 &lt; MA10在中間 &lt; MA20在最上面壓著</t>
    <phoneticPr fontId="4" type="noConversion"/>
  </si>
  <si>
    <t>三兄弟撞在一起、互相交叉，分不清楚誰前誰後，行情在休息。</t>
    <phoneticPr fontId="4" type="noConversion"/>
  </si>
  <si>
    <r>
      <t>季線之上偏多看，季線之下要保守</t>
    </r>
    <r>
      <rPr>
        <sz val="11"/>
        <color indexed="8"/>
        <rFont val="新細明體"/>
        <family val="2"/>
        <scheme val="minor"/>
      </rPr>
      <t>。</t>
    </r>
  </si>
  <si>
    <t>MA60</t>
    <phoneticPr fontId="4" type="noConversion"/>
  </si>
  <si>
    <r>
      <t>淨值在 60MA 之上</t>
    </r>
    <r>
      <rPr>
        <sz val="11"/>
        <color indexed="8"/>
        <rFont val="新細明體"/>
        <family val="2"/>
        <scheme val="minor"/>
      </rPr>
      <t>：代表過去 3 個月買進的人整體都是賺錢的，大家心情好、願意抱著，回檔容易有買盤支撐。</t>
    </r>
  </si>
  <si>
    <r>
      <t>淨值跌破 60MA</t>
    </r>
    <r>
      <rPr>
        <sz val="11"/>
        <color indexed="8"/>
        <rFont val="新細明體"/>
        <family val="2"/>
        <scheme val="minor"/>
      </rPr>
      <t>：代表過去 3 個月進場的人</t>
    </r>
    <r>
      <rPr>
        <b/>
        <sz val="11"/>
        <color indexed="8"/>
        <rFont val="新細明體"/>
        <family val="1"/>
        <charset val="136"/>
        <scheme val="minor"/>
      </rPr>
      <t>全部開始賠錢套牢</t>
    </r>
    <r>
      <rPr>
        <sz val="11"/>
        <color indexed="8"/>
        <rFont val="新細明體"/>
        <family val="2"/>
        <scheme val="minor"/>
      </rPr>
      <t>，大家心慌就容易出現停損多殺多。</t>
    </r>
  </si>
  <si>
    <t>交叉訊號</t>
  </si>
  <si>
    <t>RSV
（今日成績排名）</t>
    <phoneticPr fontId="4" type="noConversion"/>
  </si>
  <si>
    <t>K 值
（靈敏的小弟，快線）</t>
    <phoneticPr fontId="4" type="noConversion"/>
  </si>
  <si>
    <t>D 值
（穩重的大哥，慢線）</t>
    <phoneticPr fontId="4" type="noConversion"/>
  </si>
  <si>
    <t>布林通道</t>
  </si>
  <si>
    <t>交叉訊號</t>
    <phoneticPr fontId="4" type="noConversion"/>
  </si>
  <si>
    <t>9日KD</t>
  </si>
  <si>
    <t>115/10/27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</si>
</sst>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.0_-;\-* #,##0.0_-;_-* &quot;-&quot;??_-;_-@_-"/>
  </numFmts>
  <fonts count="8" x14ac:knownFonts="1">
    <font>
      <sz val="11"/>
      <color indexed="8"/>
      <name val="新細明體"/>
      <family val="2"/>
      <scheme val="minor"/>
    </font>
    <font>
      <sz val="12"/>
      <color indexed="8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indexed="8"/>
      <name val="新細明體"/>
      <family val="1"/>
      <charset val="136"/>
      <scheme val="minor"/>
    </font>
    <font>
      <sz val="12"/>
      <color theme="0"/>
      <name val="微軟正黑體"/>
      <family val="2"/>
      <charset val="136"/>
    </font>
    <font>
      <sz val="11"/>
      <color theme="0"/>
      <name val="新細明體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43" fontId="0" fillId="0" borderId="0" xfId="1" applyFont="1">
      <alignment vertical="center"/>
    </xf>
    <xf numFmtId="43" fontId="0" fillId="0" borderId="1" xfId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43" fontId="2" fillId="2" borderId="1" xfId="1" applyFon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5" fillId="0" borderId="0" xfId="0" applyFont="1">
      <alignment vertical="center"/>
    </xf>
    <xf numFmtId="43" fontId="0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 wrapText="1"/>
    </xf>
    <xf numFmtId="43" fontId="7" fillId="4" borderId="1" xfId="1" applyFont="1" applyFill="1" applyBorder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10" fontId="1" fillId="0" borderId="3" xfId="0" applyNumberFormat="1" applyFont="1" applyBorder="1" applyAlignment="1">
      <alignment horizontal="right" vertical="center" wrapText="1"/>
    </xf>
    <xf numFmtId="9" fontId="1" fillId="0" borderId="3" xfId="0" applyNumberFormat="1" applyFont="1" applyBorder="1" applyAlignment="1">
      <alignment horizontal="right" vertical="center" wrapText="1"/>
    </xf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176" fontId="0" fillId="0" borderId="1" xfId="1" applyNumberFormat="1" applyFont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10" fontId="2" fillId="6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5" borderId="1" xfId="0" applyFill="1" applyBorder="1" applyAlignment="1">
      <alignment horizontal="center" vertical="center"/>
    </xf>
    <xf numFmtId="176" fontId="0" fillId="3" borderId="1" xfId="1" applyNumberFormat="1" applyFont="1" applyFill="1" applyBorder="1">
      <alignment vertical="center"/>
    </xf>
    <xf numFmtId="43" fontId="0" fillId="3" borderId="1" xfId="1" applyFont="1" applyFill="1" applyBorder="1">
      <alignment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7"/>
  <sheetViews>
    <sheetView tabSelected="1" zoomScale="85" zoomScaleNormal="85" workbookViewId="0">
      <pane ySplit="2" topLeftCell="A169" activePane="bottomLeft" state="frozen"/>
      <selection pane="bottomLeft" activeCell="O181" sqref="O181"/>
    </sheetView>
  </sheetViews>
  <sheetFormatPr defaultColWidth="8.42578125" defaultRowHeight="15.75" x14ac:dyDescent="0.25"/>
  <cols>
    <col min="1" max="1" width="13.28515625" bestFit="1" customWidth="1"/>
    <col min="2" max="2" width="9.7109375" bestFit="1" customWidth="1"/>
    <col min="3" max="3" width="8.7109375" bestFit="1" customWidth="1"/>
    <col min="4" max="4" width="9.85546875" bestFit="1" customWidth="1"/>
    <col min="5" max="5" width="12.5703125" style="3" bestFit="1" customWidth="1"/>
    <col min="6" max="6" width="11.28515625" style="3" bestFit="1" customWidth="1"/>
    <col min="7" max="8" width="11" style="3" bestFit="1" customWidth="1"/>
    <col min="9" max="12" width="8.7109375" style="3" bestFit="1" customWidth="1"/>
    <col min="13" max="13" width="29.5703125" bestFit="1" customWidth="1"/>
    <col min="14" max="14" width="19.140625" bestFit="1" customWidth="1"/>
    <col min="15" max="15" width="19.28515625" bestFit="1" customWidth="1"/>
    <col min="16" max="17" width="24.7109375" style="3" bestFit="1" customWidth="1"/>
    <col min="18" max="18" width="10.28515625" bestFit="1" customWidth="1"/>
    <col min="19" max="19" width="37.85546875" customWidth="1"/>
    <col min="20" max="20" width="68.140625" bestFit="1" customWidth="1"/>
  </cols>
  <sheetData>
    <row r="1" spans="1:20" x14ac:dyDescent="0.25">
      <c r="A1" s="26" t="s">
        <v>0</v>
      </c>
      <c r="B1" s="27"/>
      <c r="C1" s="27"/>
      <c r="D1" s="28"/>
      <c r="E1" s="29" t="s">
        <v>226</v>
      </c>
      <c r="F1" s="29"/>
      <c r="G1" s="29"/>
      <c r="H1" s="29"/>
      <c r="I1" s="29" t="s">
        <v>207</v>
      </c>
      <c r="J1" s="29"/>
      <c r="K1" s="29"/>
      <c r="L1" s="29"/>
      <c r="M1" s="29"/>
      <c r="N1" s="22" t="s">
        <v>222</v>
      </c>
      <c r="O1" s="29" t="s">
        <v>228</v>
      </c>
      <c r="P1" s="29"/>
      <c r="Q1" s="29"/>
    </row>
    <row r="2" spans="1:20" ht="33" x14ac:dyDescent="0.25">
      <c r="A2" s="5" t="s">
        <v>1</v>
      </c>
      <c r="B2" s="10" t="s">
        <v>206</v>
      </c>
      <c r="C2" s="10" t="s">
        <v>205</v>
      </c>
      <c r="D2" s="16" t="s">
        <v>204</v>
      </c>
      <c r="E2" s="8" t="s">
        <v>201</v>
      </c>
      <c r="F2" s="8" t="s">
        <v>200</v>
      </c>
      <c r="G2" s="9" t="s">
        <v>202</v>
      </c>
      <c r="H2" s="9" t="s">
        <v>203</v>
      </c>
      <c r="I2" s="13" t="s">
        <v>196</v>
      </c>
      <c r="J2" s="13" t="s">
        <v>197</v>
      </c>
      <c r="K2" s="13" t="s">
        <v>198</v>
      </c>
      <c r="L2" s="13" t="s">
        <v>199</v>
      </c>
      <c r="M2" s="6" t="s">
        <v>208</v>
      </c>
      <c r="N2" s="6" t="s">
        <v>227</v>
      </c>
      <c r="O2" s="19" t="s">
        <v>223</v>
      </c>
      <c r="P2" s="20" t="s">
        <v>224</v>
      </c>
      <c r="Q2" s="20" t="s">
        <v>225</v>
      </c>
    </row>
    <row r="3" spans="1:20" s="24" customFormat="1" ht="16.5" x14ac:dyDescent="0.25">
      <c r="A3" s="1" t="s">
        <v>229</v>
      </c>
      <c r="B3" s="23">
        <v>711.97</v>
      </c>
      <c r="C3" s="23">
        <f>B3-B4</f>
        <v>-17</v>
      </c>
      <c r="D3" s="25">
        <v>-2.3300000000000001E-2</v>
      </c>
      <c r="E3" s="4">
        <f>AVERAGE(B3:B22)</f>
        <v>799.43349999999987</v>
      </c>
      <c r="F3" s="4">
        <f>_xlfn.STDEV.S(B3:B22)</f>
        <v>43.035047073042065</v>
      </c>
      <c r="G3" s="4">
        <f>E3+2*F3</f>
        <v>885.50359414608397</v>
      </c>
      <c r="H3" s="4">
        <f>E3-2*F3</f>
        <v>713.36340585391576</v>
      </c>
      <c r="I3" s="4">
        <f>AVERAGE(B3:B7)</f>
        <v>742.94600000000003</v>
      </c>
      <c r="J3" s="4">
        <f>AVERAGE(B3:B12)</f>
        <v>772.57399999999996</v>
      </c>
      <c r="K3" s="4">
        <f>AVERAGE(B3:B22)</f>
        <v>799.43349999999987</v>
      </c>
      <c r="L3" s="15">
        <f>AVERAGE(B3:B62)</f>
        <v>758.2736666666666</v>
      </c>
      <c r="M3" s="11" t="str">
        <f>IF(AND(I3&gt;J3, J3&gt;K3), "進攻隊形，股票大漲", IF(AND(I3&lt;J3, J3&lt;K3), "撤退隊形，股票跌慘", "打結隊形，忽上忽下看不懂"))</f>
        <v>撤退隊形，股票跌慘</v>
      </c>
      <c r="N3" s="7" t="str">
        <f>IF(AND(I3&gt;J3,I4&lt;=J4),"★黃金交叉(買訊)",IF(AND(I3&lt;J3,I4&gt;=J4),"▲死亡交叉(賣訊)",""))</f>
        <v/>
      </c>
      <c r="O3" s="21">
        <f>(B3 - MIN(B3:B11)) / (MAX(B3:B11) - MIN(B3:B11)) * 100</f>
        <v>0</v>
      </c>
      <c r="P3" s="4">
        <f>(1/3)*O3+(2/3)*P4</f>
        <v>3.8824149657522717</v>
      </c>
      <c r="Q3" s="4">
        <f>(1/3)*P3+(2/3)*Q4</f>
        <v>11.957898156202321</v>
      </c>
    </row>
    <row r="4" spans="1:20" x14ac:dyDescent="0.25">
      <c r="A4" s="1" t="s">
        <v>2</v>
      </c>
      <c r="B4" s="14">
        <v>728.97</v>
      </c>
      <c r="C4" s="2">
        <v>-25.55</v>
      </c>
      <c r="D4" s="17">
        <v>-3.39E-2</v>
      </c>
      <c r="E4" s="4">
        <f>AVERAGE(B4:B23)</f>
        <v>803.25600000000009</v>
      </c>
      <c r="F4" s="4">
        <f>_xlfn.STDEV.S(B4:B23)</f>
        <v>37.952528159323073</v>
      </c>
      <c r="G4" s="4">
        <f>E4+2*F4</f>
        <v>879.16105631864627</v>
      </c>
      <c r="H4" s="4">
        <f>E4-2*F4</f>
        <v>727.3509436813539</v>
      </c>
      <c r="I4" s="4">
        <f>AVERAGE(B4:B8)</f>
        <v>754.48199999999997</v>
      </c>
      <c r="J4" s="4">
        <f>AVERAGE(B4:B13)</f>
        <v>785.88099999999997</v>
      </c>
      <c r="K4" s="4">
        <f>AVERAGE(B4:B23)</f>
        <v>803.25600000000009</v>
      </c>
      <c r="L4" s="15">
        <f>AVERAGE(B4:B63)</f>
        <v>756.98483333333343</v>
      </c>
      <c r="M4" s="11" t="str">
        <f>IF(AND(I4&gt;J4, J4&gt;K4), "進攻隊形，股票大漲", IF(AND(I4&lt;J4, J4&lt;K4), "撤退隊形，股票跌慘", "打結隊形，忽上忽下看不懂"))</f>
        <v>撤退隊形，股票跌慘</v>
      </c>
      <c r="N4" s="7" t="str">
        <f>IF(AND(I4&gt;J4,I5&lt;=J5),"★黃金交叉(買訊)",IF(AND(I4&lt;J4,I5&gt;=J5),"▲死亡交叉(賣訊)",""))</f>
        <v/>
      </c>
      <c r="O4" s="21">
        <f>(B4 - MIN(B4:B12)) / (MAX(B4:B12) - MIN(B4:B12)) * 100</f>
        <v>0</v>
      </c>
      <c r="P4" s="4">
        <f>(1/3)*O4+(2/3)*P5</f>
        <v>5.8236224486284076</v>
      </c>
      <c r="Q4" s="4">
        <f>(1/3)*P4+(2/3)*Q5</f>
        <v>15.995639751427346</v>
      </c>
      <c r="R4" t="s">
        <v>209</v>
      </c>
      <c r="S4" t="s">
        <v>210</v>
      </c>
      <c r="T4" s="12" t="s">
        <v>215</v>
      </c>
    </row>
    <row r="5" spans="1:20" x14ac:dyDescent="0.25">
      <c r="A5" s="1" t="s">
        <v>3</v>
      </c>
      <c r="B5" s="2">
        <v>754.52</v>
      </c>
      <c r="C5" s="2">
        <v>4.1399999999999997</v>
      </c>
      <c r="D5" s="17">
        <v>5.4999999999999997E-3</v>
      </c>
      <c r="E5" s="4">
        <f>AVERAGE(B5:B24)</f>
        <v>805.50549999999998</v>
      </c>
      <c r="F5" s="4">
        <f>_xlfn.STDEV.S(B5:B24)</f>
        <v>34.493427516587928</v>
      </c>
      <c r="G5" s="4">
        <f>E5+2*F5</f>
        <v>874.49235503317584</v>
      </c>
      <c r="H5" s="4">
        <f>E5-2*F5</f>
        <v>736.51864496682413</v>
      </c>
      <c r="I5" s="4">
        <f t="shared" ref="I5:I68" si="0">AVERAGE(B5:B9)</f>
        <v>761.62</v>
      </c>
      <c r="J5" s="4">
        <f t="shared" ref="J5:J68" si="1">AVERAGE(B5:B14)</f>
        <v>797.66199999999992</v>
      </c>
      <c r="K5" s="4">
        <f t="shared" ref="K5:K68" si="2">AVERAGE(B5:B24)</f>
        <v>805.50549999999998</v>
      </c>
      <c r="L5" s="4">
        <f t="shared" ref="L5:L68" si="3">AVERAGE(B5:B64)</f>
        <v>756.25750000000005</v>
      </c>
      <c r="M5" s="11" t="str">
        <f t="shared" ref="M5:M68" si="4">IF(AND(I5&gt;J5, J5&gt;K5), "進攻隊形，股票大漲", IF(AND(I5&lt;J5, J5&lt;K5), "撤退隊形，股票跌慘", "打結隊形，忽上忽下看不懂"))</f>
        <v>撤退隊形，股票跌慘</v>
      </c>
      <c r="N5" s="7" t="str">
        <f t="shared" ref="N5:N68" si="5">IF(AND(I5&gt;J5,I6&lt;=J6),"★黃金交叉(買訊)",IF(AND(I5&lt;J5,I6&gt;=J6),"▲死亡交叉(賣訊)",""))</f>
        <v/>
      </c>
      <c r="O5" s="21">
        <f t="shared" ref="O5:O68" si="6">(B5 - MIN(B5:B13)) / (MAX(B5:B13) - MIN(B5:B13)) * 100</f>
        <v>4.3450881612090546</v>
      </c>
      <c r="P5" s="4">
        <f t="shared" ref="P5:P68" si="7">(1/3)*O5+(2/3)*P6</f>
        <v>8.7354336729426123</v>
      </c>
      <c r="Q5" s="4">
        <f t="shared" ref="Q5:Q68" si="8">(1/3)*P5+(2/3)*Q6</f>
        <v>21.081648402826815</v>
      </c>
      <c r="R5" t="s">
        <v>211</v>
      </c>
      <c r="S5" t="s">
        <v>212</v>
      </c>
      <c r="T5" t="s">
        <v>216</v>
      </c>
    </row>
    <row r="6" spans="1:20" x14ac:dyDescent="0.25">
      <c r="A6" s="1" t="s">
        <v>4</v>
      </c>
      <c r="B6" s="2">
        <v>750.38</v>
      </c>
      <c r="C6" s="2">
        <v>-18.510000000000002</v>
      </c>
      <c r="D6" s="17">
        <v>-2.41E-2</v>
      </c>
      <c r="E6" s="4">
        <f t="shared" ref="E6:E69" si="9">AVERAGE(B6:B25)</f>
        <v>805.77650000000006</v>
      </c>
      <c r="F6" s="4">
        <f t="shared" ref="F6:F69" si="10">_xlfn.STDEV.S(B6:B25)</f>
        <v>34.090714166300785</v>
      </c>
      <c r="G6" s="4">
        <f t="shared" ref="G6:G69" si="11">E6+2*F6</f>
        <v>873.95792833260157</v>
      </c>
      <c r="H6" s="4">
        <f t="shared" ref="H6:H69" si="12">E6-2*F6</f>
        <v>737.59507166739854</v>
      </c>
      <c r="I6" s="4">
        <f t="shared" si="0"/>
        <v>774.30799999999999</v>
      </c>
      <c r="J6" s="4">
        <f t="shared" si="1"/>
        <v>807.98199999999997</v>
      </c>
      <c r="K6" s="4">
        <f t="shared" si="2"/>
        <v>805.77650000000006</v>
      </c>
      <c r="L6" s="4">
        <f t="shared" si="3"/>
        <v>755.13183333333347</v>
      </c>
      <c r="M6" s="11" t="str">
        <f t="shared" si="4"/>
        <v>打結隊形，忽上忽下看不懂</v>
      </c>
      <c r="N6" s="7" t="str">
        <f t="shared" si="5"/>
        <v/>
      </c>
      <c r="O6" s="21">
        <f t="shared" si="6"/>
        <v>0</v>
      </c>
      <c r="P6" s="4">
        <f t="shared" si="7"/>
        <v>10.930606428809392</v>
      </c>
      <c r="Q6" s="4">
        <f t="shared" si="8"/>
        <v>27.25475576776892</v>
      </c>
      <c r="R6" t="s">
        <v>213</v>
      </c>
      <c r="S6" t="s">
        <v>214</v>
      </c>
      <c r="T6" t="s">
        <v>217</v>
      </c>
    </row>
    <row r="7" spans="1:20" x14ac:dyDescent="0.25">
      <c r="A7" s="1" t="s">
        <v>5</v>
      </c>
      <c r="B7" s="2">
        <v>768.89</v>
      </c>
      <c r="C7" s="2">
        <v>-0.76</v>
      </c>
      <c r="D7" s="17">
        <v>-1E-3</v>
      </c>
      <c r="E7" s="4">
        <f t="shared" si="9"/>
        <v>804.66049999999996</v>
      </c>
      <c r="F7" s="4">
        <f t="shared" si="10"/>
        <v>36.293780890336976</v>
      </c>
      <c r="G7" s="4">
        <f t="shared" si="11"/>
        <v>877.24806178067388</v>
      </c>
      <c r="H7" s="4">
        <f t="shared" si="12"/>
        <v>732.07293821932603</v>
      </c>
      <c r="I7" s="4">
        <f t="shared" si="0"/>
        <v>786.84799999999996</v>
      </c>
      <c r="J7" s="4">
        <f t="shared" si="1"/>
        <v>818.79299999999989</v>
      </c>
      <c r="K7" s="4">
        <f t="shared" si="2"/>
        <v>804.66049999999996</v>
      </c>
      <c r="L7" s="4">
        <f t="shared" si="3"/>
        <v>754.70916666666676</v>
      </c>
      <c r="M7" s="11" t="str">
        <f t="shared" si="4"/>
        <v>打結隊形，忽上忽下看不懂</v>
      </c>
      <c r="N7" s="7" t="str">
        <f t="shared" si="5"/>
        <v/>
      </c>
      <c r="O7" s="21">
        <f t="shared" si="6"/>
        <v>4.5454545454545618</v>
      </c>
      <c r="P7" s="4">
        <f t="shared" si="7"/>
        <v>16.39590964321409</v>
      </c>
      <c r="Q7" s="4">
        <f t="shared" si="8"/>
        <v>35.416830437248684</v>
      </c>
    </row>
    <row r="8" spans="1:20" x14ac:dyDescent="0.25">
      <c r="A8" s="1" t="s">
        <v>6</v>
      </c>
      <c r="B8" s="2">
        <v>769.65</v>
      </c>
      <c r="C8" s="2">
        <v>4.99</v>
      </c>
      <c r="D8" s="17">
        <v>6.4999999999999997E-3</v>
      </c>
      <c r="E8" s="4">
        <f t="shared" si="9"/>
        <v>802.9514999999999</v>
      </c>
      <c r="F8" s="4">
        <f t="shared" si="10"/>
        <v>38.785959379651807</v>
      </c>
      <c r="G8" s="4">
        <f t="shared" si="11"/>
        <v>880.52341875930347</v>
      </c>
      <c r="H8" s="4">
        <f t="shared" si="12"/>
        <v>725.37958124069633</v>
      </c>
      <c r="I8" s="4">
        <f t="shared" si="0"/>
        <v>802.202</v>
      </c>
      <c r="J8" s="4">
        <f t="shared" si="1"/>
        <v>824.62199999999996</v>
      </c>
      <c r="K8" s="4">
        <f t="shared" si="2"/>
        <v>802.9514999999999</v>
      </c>
      <c r="L8" s="4">
        <f t="shared" si="3"/>
        <v>753.87433333333331</v>
      </c>
      <c r="M8" s="11" t="str">
        <f t="shared" si="4"/>
        <v>打結隊形，忽上忽下看不懂</v>
      </c>
      <c r="N8" s="7" t="str">
        <f t="shared" si="5"/>
        <v/>
      </c>
      <c r="O8" s="21">
        <f t="shared" si="6"/>
        <v>5.3181285303208004</v>
      </c>
      <c r="P8" s="4">
        <f t="shared" si="7"/>
        <v>22.321137192093857</v>
      </c>
      <c r="Q8" s="4">
        <f t="shared" si="8"/>
        <v>44.927290834265982</v>
      </c>
    </row>
    <row r="9" spans="1:20" x14ac:dyDescent="0.25">
      <c r="A9" s="1" t="s">
        <v>7</v>
      </c>
      <c r="B9" s="2">
        <v>764.66</v>
      </c>
      <c r="C9" s="2">
        <v>-53.3</v>
      </c>
      <c r="D9" s="17">
        <v>-6.5199999999999994E-2</v>
      </c>
      <c r="E9" s="4">
        <f t="shared" si="9"/>
        <v>800.94200000000001</v>
      </c>
      <c r="F9" s="4">
        <f t="shared" si="10"/>
        <v>41.54509985672513</v>
      </c>
      <c r="G9" s="4">
        <f t="shared" si="11"/>
        <v>884.03219971345027</v>
      </c>
      <c r="H9" s="4">
        <f t="shared" si="12"/>
        <v>717.85180028654975</v>
      </c>
      <c r="I9" s="4">
        <f t="shared" si="0"/>
        <v>817.28</v>
      </c>
      <c r="J9" s="4">
        <f t="shared" si="1"/>
        <v>829.12299999999993</v>
      </c>
      <c r="K9" s="4">
        <f t="shared" si="2"/>
        <v>800.94200000000001</v>
      </c>
      <c r="L9" s="4">
        <f t="shared" si="3"/>
        <v>752.58783333333326</v>
      </c>
      <c r="M9" s="11" t="str">
        <f t="shared" si="4"/>
        <v>打結隊形，忽上忽下看不懂</v>
      </c>
      <c r="N9" s="7" t="str">
        <f t="shared" si="5"/>
        <v>▲死亡交叉(賣訊)</v>
      </c>
      <c r="O9" s="21">
        <f t="shared" si="6"/>
        <v>0</v>
      </c>
      <c r="P9" s="4">
        <f t="shared" si="7"/>
        <v>30.822641522980391</v>
      </c>
      <c r="Q9" s="4">
        <f t="shared" si="8"/>
        <v>56.230367655352048</v>
      </c>
      <c r="R9" t="s">
        <v>219</v>
      </c>
      <c r="S9" s="12" t="s">
        <v>218</v>
      </c>
      <c r="T9" s="12" t="s">
        <v>220</v>
      </c>
    </row>
    <row r="10" spans="1:20" x14ac:dyDescent="0.25">
      <c r="A10" s="1" t="s">
        <v>8</v>
      </c>
      <c r="B10" s="2">
        <v>817.96</v>
      </c>
      <c r="C10" s="2">
        <v>4.88</v>
      </c>
      <c r="D10" s="17">
        <v>6.0000000000000001E-3</v>
      </c>
      <c r="E10" s="4">
        <f t="shared" si="9"/>
        <v>800.07650000000001</v>
      </c>
      <c r="F10" s="4">
        <f t="shared" si="10"/>
        <v>42.509842980928042</v>
      </c>
      <c r="G10" s="4">
        <f t="shared" si="11"/>
        <v>885.09618596185612</v>
      </c>
      <c r="H10" s="4">
        <f t="shared" si="12"/>
        <v>715.0568140381439</v>
      </c>
      <c r="I10" s="4">
        <f t="shared" si="0"/>
        <v>833.70399999999995</v>
      </c>
      <c r="J10" s="4">
        <f t="shared" si="1"/>
        <v>832.67199999999991</v>
      </c>
      <c r="K10" s="4">
        <f t="shared" si="2"/>
        <v>800.07650000000001</v>
      </c>
      <c r="L10" s="4">
        <f t="shared" si="3"/>
        <v>750.60950000000003</v>
      </c>
      <c r="M10" s="11" t="str">
        <f t="shared" si="4"/>
        <v>進攻隊形，股票大漲</v>
      </c>
      <c r="N10" s="7" t="str">
        <f t="shared" si="5"/>
        <v/>
      </c>
      <c r="O10" s="21">
        <f t="shared" si="6"/>
        <v>10.746531600968948</v>
      </c>
      <c r="P10" s="4">
        <f t="shared" si="7"/>
        <v>46.233962284470586</v>
      </c>
      <c r="Q10" s="4">
        <f t="shared" si="8"/>
        <v>68.934230721537887</v>
      </c>
      <c r="T10" s="12" t="s">
        <v>221</v>
      </c>
    </row>
    <row r="11" spans="1:20" x14ac:dyDescent="0.25">
      <c r="A11" s="1" t="s">
        <v>9</v>
      </c>
      <c r="B11" s="2">
        <v>813.08</v>
      </c>
      <c r="C11" s="2">
        <v>-32.58</v>
      </c>
      <c r="D11" s="17">
        <v>-3.85E-2</v>
      </c>
      <c r="E11" s="4">
        <f t="shared" si="9"/>
        <v>796.64649999999995</v>
      </c>
      <c r="F11" s="4">
        <f t="shared" si="10"/>
        <v>43.740679641797001</v>
      </c>
      <c r="G11" s="4">
        <f t="shared" si="11"/>
        <v>884.12785928359392</v>
      </c>
      <c r="H11" s="4">
        <f t="shared" si="12"/>
        <v>709.16514071640597</v>
      </c>
      <c r="I11" s="4">
        <f t="shared" si="0"/>
        <v>841.65599999999995</v>
      </c>
      <c r="J11" s="4">
        <f t="shared" si="1"/>
        <v>830.34699999999998</v>
      </c>
      <c r="K11" s="4">
        <f t="shared" si="2"/>
        <v>796.64649999999995</v>
      </c>
      <c r="L11" s="4">
        <f t="shared" si="3"/>
        <v>748.03300000000013</v>
      </c>
      <c r="M11" s="11" t="str">
        <f t="shared" si="4"/>
        <v>進攻隊形，股票大漲</v>
      </c>
      <c r="N11" s="7" t="str">
        <f t="shared" si="5"/>
        <v/>
      </c>
      <c r="O11" s="21">
        <f t="shared" si="6"/>
        <v>22.163181350702875</v>
      </c>
      <c r="P11" s="4">
        <f t="shared" si="7"/>
        <v>63.977677626221407</v>
      </c>
      <c r="Q11" s="4">
        <f t="shared" si="8"/>
        <v>80.284364940071555</v>
      </c>
    </row>
    <row r="12" spans="1:20" x14ac:dyDescent="0.25">
      <c r="A12" s="1" t="s">
        <v>10</v>
      </c>
      <c r="B12" s="2">
        <v>845.66</v>
      </c>
      <c r="C12" s="2">
        <v>0.62</v>
      </c>
      <c r="D12" s="17">
        <v>6.9999999999999999E-4</v>
      </c>
      <c r="E12" s="4">
        <f t="shared" si="9"/>
        <v>794.16450000000009</v>
      </c>
      <c r="F12" s="4">
        <f t="shared" si="10"/>
        <v>44.165418297815897</v>
      </c>
      <c r="G12" s="4">
        <f t="shared" si="11"/>
        <v>882.4953365956319</v>
      </c>
      <c r="H12" s="4">
        <f t="shared" si="12"/>
        <v>705.83366340436828</v>
      </c>
      <c r="I12" s="4">
        <f t="shared" si="0"/>
        <v>850.73799999999994</v>
      </c>
      <c r="J12" s="4">
        <f t="shared" si="1"/>
        <v>830.375</v>
      </c>
      <c r="K12" s="4">
        <f t="shared" si="2"/>
        <v>794.16450000000009</v>
      </c>
      <c r="L12" s="4">
        <f t="shared" si="3"/>
        <v>746.55483333333348</v>
      </c>
      <c r="M12" s="11" t="str">
        <f t="shared" si="4"/>
        <v>進攻隊形，股票大漲</v>
      </c>
      <c r="N12" s="7" t="str">
        <f t="shared" si="5"/>
        <v/>
      </c>
      <c r="O12" s="21">
        <f t="shared" si="6"/>
        <v>79.883976168077695</v>
      </c>
      <c r="P12" s="4">
        <f t="shared" si="7"/>
        <v>84.884925763980675</v>
      </c>
      <c r="Q12" s="4">
        <f t="shared" si="8"/>
        <v>88.437708596996629</v>
      </c>
    </row>
    <row r="13" spans="1:20" x14ac:dyDescent="0.25">
      <c r="A13" s="1" t="s">
        <v>11</v>
      </c>
      <c r="B13" s="2">
        <v>845.04</v>
      </c>
      <c r="C13" s="2">
        <v>-1.74</v>
      </c>
      <c r="D13" s="17">
        <v>-2.0999999999999999E-3</v>
      </c>
      <c r="E13" s="4">
        <f t="shared" si="9"/>
        <v>790.07949999999983</v>
      </c>
      <c r="F13" s="4">
        <f t="shared" si="10"/>
        <v>42.912321929966126</v>
      </c>
      <c r="G13" s="4">
        <f t="shared" si="11"/>
        <v>875.90414385993211</v>
      </c>
      <c r="H13" s="4">
        <f t="shared" si="12"/>
        <v>704.25485614006755</v>
      </c>
      <c r="I13" s="4">
        <f t="shared" si="0"/>
        <v>847.04200000000003</v>
      </c>
      <c r="J13" s="4">
        <f t="shared" si="1"/>
        <v>826.29299999999989</v>
      </c>
      <c r="K13" s="4">
        <f t="shared" si="2"/>
        <v>790.07949999999983</v>
      </c>
      <c r="L13" s="4">
        <f t="shared" si="3"/>
        <v>744.73316666666665</v>
      </c>
      <c r="M13" s="11" t="str">
        <f t="shared" si="4"/>
        <v>進攻隊形，股票大漲</v>
      </c>
      <c r="N13" s="7" t="str">
        <f t="shared" si="5"/>
        <v/>
      </c>
      <c r="O13" s="21">
        <f t="shared" si="6"/>
        <v>78.911884603323841</v>
      </c>
      <c r="P13" s="4">
        <f t="shared" si="7"/>
        <v>87.385400561932173</v>
      </c>
      <c r="Q13" s="4">
        <f t="shared" si="8"/>
        <v>90.214100013504606</v>
      </c>
    </row>
    <row r="14" spans="1:20" x14ac:dyDescent="0.25">
      <c r="A14" s="1" t="s">
        <v>12</v>
      </c>
      <c r="B14" s="2">
        <v>846.78</v>
      </c>
      <c r="C14" s="2">
        <v>-10.94</v>
      </c>
      <c r="D14" s="17">
        <v>-1.2800000000000001E-2</v>
      </c>
      <c r="E14" s="4">
        <f t="shared" si="9"/>
        <v>785.5424999999999</v>
      </c>
      <c r="F14" s="4">
        <f t="shared" si="10"/>
        <v>41.571567190619717</v>
      </c>
      <c r="G14" s="4">
        <f t="shared" si="11"/>
        <v>868.68563438123931</v>
      </c>
      <c r="H14" s="4">
        <f t="shared" si="12"/>
        <v>702.3993656187605</v>
      </c>
      <c r="I14" s="4">
        <f t="shared" si="0"/>
        <v>840.96600000000001</v>
      </c>
      <c r="J14" s="4">
        <f t="shared" si="1"/>
        <v>820.63099999999997</v>
      </c>
      <c r="K14" s="4">
        <f t="shared" si="2"/>
        <v>785.5424999999999</v>
      </c>
      <c r="L14" s="4">
        <f t="shared" si="3"/>
        <v>742.49200000000008</v>
      </c>
      <c r="M14" s="11" t="str">
        <f t="shared" si="4"/>
        <v>進攻隊形，股票大漲</v>
      </c>
      <c r="N14" s="7" t="str">
        <f t="shared" si="5"/>
        <v/>
      </c>
      <c r="O14" s="21">
        <f t="shared" si="6"/>
        <v>81.640012543116896</v>
      </c>
      <c r="P14" s="4">
        <f t="shared" si="7"/>
        <v>91.622158541236345</v>
      </c>
      <c r="Q14" s="4">
        <f t="shared" si="8"/>
        <v>91.628449739290829</v>
      </c>
    </row>
    <row r="15" spans="1:20" x14ac:dyDescent="0.25">
      <c r="A15" s="1" t="s">
        <v>13</v>
      </c>
      <c r="B15" s="2">
        <v>857.72</v>
      </c>
      <c r="C15" s="2">
        <v>-0.77</v>
      </c>
      <c r="D15" s="17">
        <v>-8.9999999999999998E-4</v>
      </c>
      <c r="E15" s="4">
        <f t="shared" si="9"/>
        <v>781.67550000000006</v>
      </c>
      <c r="F15" s="4">
        <f t="shared" si="10"/>
        <v>39.098993185987467</v>
      </c>
      <c r="G15" s="4">
        <f t="shared" si="11"/>
        <v>859.87348637197499</v>
      </c>
      <c r="H15" s="4">
        <f t="shared" si="12"/>
        <v>703.47751362802512</v>
      </c>
      <c r="I15" s="4">
        <f t="shared" si="0"/>
        <v>831.64</v>
      </c>
      <c r="J15" s="4">
        <f t="shared" si="1"/>
        <v>813.34899999999993</v>
      </c>
      <c r="K15" s="4">
        <f t="shared" si="2"/>
        <v>781.67550000000006</v>
      </c>
      <c r="L15" s="4">
        <f t="shared" si="3"/>
        <v>740.63200000000006</v>
      </c>
      <c r="M15" s="11" t="str">
        <f t="shared" si="4"/>
        <v>進攻隊形，股票大漲</v>
      </c>
      <c r="N15" s="7" t="str">
        <f t="shared" si="5"/>
        <v/>
      </c>
      <c r="O15" s="21">
        <f t="shared" si="6"/>
        <v>98.901098901098933</v>
      </c>
      <c r="P15" s="4">
        <f t="shared" si="7"/>
        <v>96.613231540296084</v>
      </c>
      <c r="Q15" s="4">
        <f t="shared" si="8"/>
        <v>91.631595338318078</v>
      </c>
    </row>
    <row r="16" spans="1:20" x14ac:dyDescent="0.25">
      <c r="A16" s="1" t="s">
        <v>14</v>
      </c>
      <c r="B16" s="2">
        <v>858.49</v>
      </c>
      <c r="C16" s="2">
        <v>31.31</v>
      </c>
      <c r="D16" s="17">
        <v>3.7900000000000003E-2</v>
      </c>
      <c r="E16" s="4">
        <f t="shared" si="9"/>
        <v>776.70749999999998</v>
      </c>
      <c r="F16" s="4">
        <f t="shared" si="10"/>
        <v>35.028650059629754</v>
      </c>
      <c r="G16" s="4">
        <f t="shared" si="11"/>
        <v>846.76480011925946</v>
      </c>
      <c r="H16" s="4">
        <f t="shared" si="12"/>
        <v>706.6501998807405</v>
      </c>
      <c r="I16" s="4">
        <f t="shared" si="0"/>
        <v>819.03800000000001</v>
      </c>
      <c r="J16" s="4">
        <f t="shared" si="1"/>
        <v>803.57100000000014</v>
      </c>
      <c r="K16" s="4">
        <f t="shared" si="2"/>
        <v>776.70749999999998</v>
      </c>
      <c r="L16" s="4">
        <f t="shared" si="3"/>
        <v>738.87683333333348</v>
      </c>
      <c r="M16" s="11" t="str">
        <f t="shared" si="4"/>
        <v>進攻隊形，股票大漲</v>
      </c>
      <c r="N16" s="7" t="str">
        <f t="shared" si="5"/>
        <v/>
      </c>
      <c r="O16" s="21">
        <f t="shared" si="6"/>
        <v>100</v>
      </c>
      <c r="P16" s="4">
        <f t="shared" si="7"/>
        <v>95.469297859894652</v>
      </c>
      <c r="Q16" s="4">
        <f t="shared" si="8"/>
        <v>89.140777237329075</v>
      </c>
    </row>
    <row r="17" spans="1:17" x14ac:dyDescent="0.25">
      <c r="A17" s="1" t="s">
        <v>15</v>
      </c>
      <c r="B17" s="2">
        <v>827.18</v>
      </c>
      <c r="C17" s="2">
        <v>12.52</v>
      </c>
      <c r="D17" s="17">
        <v>1.54E-2</v>
      </c>
      <c r="E17" s="4">
        <f t="shared" si="9"/>
        <v>770.70999999999981</v>
      </c>
      <c r="F17" s="4">
        <f t="shared" si="10"/>
        <v>30.229038670579122</v>
      </c>
      <c r="G17" s="4">
        <f t="shared" si="11"/>
        <v>831.1680773411581</v>
      </c>
      <c r="H17" s="4">
        <f t="shared" si="12"/>
        <v>710.25192265884152</v>
      </c>
      <c r="I17" s="4">
        <f t="shared" si="0"/>
        <v>810.01199999999994</v>
      </c>
      <c r="J17" s="4">
        <f t="shared" si="1"/>
        <v>790.52799999999991</v>
      </c>
      <c r="K17" s="4">
        <f t="shared" si="2"/>
        <v>770.70999999999981</v>
      </c>
      <c r="L17" s="4">
        <f t="shared" si="3"/>
        <v>737.04000000000019</v>
      </c>
      <c r="M17" s="11" t="str">
        <f t="shared" si="4"/>
        <v>進攻隊形，股票大漲</v>
      </c>
      <c r="N17" s="7" t="str">
        <f t="shared" si="5"/>
        <v/>
      </c>
      <c r="O17" s="21">
        <f t="shared" si="6"/>
        <v>100</v>
      </c>
      <c r="P17" s="4">
        <f t="shared" si="7"/>
        <v>93.203946789841979</v>
      </c>
      <c r="Q17" s="4">
        <f t="shared" si="8"/>
        <v>85.976516926046287</v>
      </c>
    </row>
    <row r="18" spans="1:17" x14ac:dyDescent="0.25">
      <c r="A18" s="1" t="s">
        <v>16</v>
      </c>
      <c r="B18" s="2">
        <v>814.66</v>
      </c>
      <c r="C18" s="2">
        <v>14.51</v>
      </c>
      <c r="D18" s="17">
        <v>1.8100000000000002E-2</v>
      </c>
      <c r="E18" s="4">
        <f t="shared" si="9"/>
        <v>767.27200000000005</v>
      </c>
      <c r="F18" s="4">
        <f t="shared" si="10"/>
        <v>27.229905309381717</v>
      </c>
      <c r="G18" s="4">
        <f t="shared" si="11"/>
        <v>821.73181061876346</v>
      </c>
      <c r="H18" s="4">
        <f t="shared" si="12"/>
        <v>712.81218938123664</v>
      </c>
      <c r="I18" s="4">
        <f t="shared" si="0"/>
        <v>805.5440000000001</v>
      </c>
      <c r="J18" s="4">
        <f t="shared" si="1"/>
        <v>781.28100000000006</v>
      </c>
      <c r="K18" s="4">
        <f t="shared" si="2"/>
        <v>767.27200000000005</v>
      </c>
      <c r="L18" s="4">
        <f t="shared" si="3"/>
        <v>735.63300000000027</v>
      </c>
      <c r="M18" s="11" t="str">
        <f t="shared" si="4"/>
        <v>進攻隊形，股票大漲</v>
      </c>
      <c r="N18" s="7" t="str">
        <f t="shared" si="5"/>
        <v/>
      </c>
      <c r="O18" s="21">
        <f t="shared" si="6"/>
        <v>100</v>
      </c>
      <c r="P18" s="4">
        <f t="shared" si="7"/>
        <v>89.805920184762968</v>
      </c>
      <c r="Q18" s="4">
        <f t="shared" si="8"/>
        <v>82.362801994148455</v>
      </c>
    </row>
    <row r="19" spans="1:17" x14ac:dyDescent="0.25">
      <c r="A19" s="1" t="s">
        <v>17</v>
      </c>
      <c r="B19" s="2">
        <v>800.15</v>
      </c>
      <c r="C19" s="2">
        <v>5.44</v>
      </c>
      <c r="D19" s="17">
        <v>6.7999999999999996E-3</v>
      </c>
      <c r="E19" s="4">
        <f t="shared" si="9"/>
        <v>765.41000000000008</v>
      </c>
      <c r="F19" s="4">
        <f t="shared" si="10"/>
        <v>25.00095324498438</v>
      </c>
      <c r="G19" s="4">
        <f t="shared" si="11"/>
        <v>815.41190648996883</v>
      </c>
      <c r="H19" s="4">
        <f t="shared" si="12"/>
        <v>715.40809351003134</v>
      </c>
      <c r="I19" s="4">
        <f t="shared" si="0"/>
        <v>800.29600000000005</v>
      </c>
      <c r="J19" s="4">
        <f t="shared" si="1"/>
        <v>772.76100000000008</v>
      </c>
      <c r="K19" s="4">
        <f t="shared" si="2"/>
        <v>765.41000000000008</v>
      </c>
      <c r="L19" s="4">
        <f t="shared" si="3"/>
        <v>735.12700000000041</v>
      </c>
      <c r="M19" s="11" t="str">
        <f t="shared" si="4"/>
        <v>進攻隊形，股票大漲</v>
      </c>
      <c r="N19" s="7" t="str">
        <f t="shared" si="5"/>
        <v/>
      </c>
      <c r="O19" s="21">
        <f t="shared" si="6"/>
        <v>84.51348182883936</v>
      </c>
      <c r="P19" s="4">
        <f t="shared" si="7"/>
        <v>84.708880277144459</v>
      </c>
      <c r="Q19" s="4">
        <f t="shared" si="8"/>
        <v>78.641242898841199</v>
      </c>
    </row>
    <row r="20" spans="1:17" x14ac:dyDescent="0.25">
      <c r="A20" s="1" t="s">
        <v>18</v>
      </c>
      <c r="B20" s="2">
        <v>794.71</v>
      </c>
      <c r="C20" s="2">
        <v>-18.649999999999999</v>
      </c>
      <c r="D20" s="17">
        <v>-2.29E-2</v>
      </c>
      <c r="E20" s="4">
        <f t="shared" si="9"/>
        <v>763.25500000000011</v>
      </c>
      <c r="F20" s="4">
        <f t="shared" si="10"/>
        <v>23.671042824959208</v>
      </c>
      <c r="G20" s="4">
        <f t="shared" si="11"/>
        <v>810.59708564991854</v>
      </c>
      <c r="H20" s="4">
        <f t="shared" si="12"/>
        <v>715.91291435008168</v>
      </c>
      <c r="I20" s="4">
        <f t="shared" si="0"/>
        <v>795.05800000000011</v>
      </c>
      <c r="J20" s="4">
        <f t="shared" si="1"/>
        <v>767.48100000000011</v>
      </c>
      <c r="K20" s="4">
        <f t="shared" si="2"/>
        <v>763.25500000000011</v>
      </c>
      <c r="L20" s="4">
        <f t="shared" si="3"/>
        <v>735.45633333333376</v>
      </c>
      <c r="M20" s="11" t="str">
        <f t="shared" si="4"/>
        <v>進攻隊形，股票大漲</v>
      </c>
      <c r="N20" s="7" t="str">
        <f t="shared" si="5"/>
        <v/>
      </c>
      <c r="O20" s="21">
        <f t="shared" si="6"/>
        <v>78.135990621336504</v>
      </c>
      <c r="P20" s="4">
        <f t="shared" si="7"/>
        <v>84.806579501297023</v>
      </c>
      <c r="Q20" s="4">
        <f t="shared" si="8"/>
        <v>75.607424209689583</v>
      </c>
    </row>
    <row r="21" spans="1:17" x14ac:dyDescent="0.25">
      <c r="A21" s="1" t="s">
        <v>19</v>
      </c>
      <c r="B21" s="2">
        <v>813.36</v>
      </c>
      <c r="C21" s="2">
        <v>8.52</v>
      </c>
      <c r="D21" s="17">
        <v>1.06E-2</v>
      </c>
      <c r="E21" s="4">
        <f t="shared" si="9"/>
        <v>762.05399999999997</v>
      </c>
      <c r="F21" s="4">
        <f t="shared" si="10"/>
        <v>22.575092562612596</v>
      </c>
      <c r="G21" s="4">
        <f t="shared" si="11"/>
        <v>807.20418512522519</v>
      </c>
      <c r="H21" s="4">
        <f t="shared" si="12"/>
        <v>716.90381487477475</v>
      </c>
      <c r="I21" s="4">
        <f t="shared" si="0"/>
        <v>788.10400000000004</v>
      </c>
      <c r="J21" s="4">
        <f t="shared" si="1"/>
        <v>762.94600000000003</v>
      </c>
      <c r="K21" s="4">
        <f t="shared" si="2"/>
        <v>762.05399999999997</v>
      </c>
      <c r="L21" s="4">
        <f t="shared" si="3"/>
        <v>735.70533333333367</v>
      </c>
      <c r="M21" s="11" t="str">
        <f t="shared" si="4"/>
        <v>進攻隊形，股票大漲</v>
      </c>
      <c r="N21" s="7" t="str">
        <f t="shared" si="5"/>
        <v/>
      </c>
      <c r="O21" s="21">
        <f t="shared" si="6"/>
        <v>100</v>
      </c>
      <c r="P21" s="4">
        <f t="shared" si="7"/>
        <v>88.141873941277296</v>
      </c>
      <c r="Q21" s="4">
        <f t="shared" si="8"/>
        <v>71.007846563885863</v>
      </c>
    </row>
    <row r="22" spans="1:17" x14ac:dyDescent="0.25">
      <c r="A22" s="1" t="s">
        <v>20</v>
      </c>
      <c r="B22" s="2">
        <v>804.84</v>
      </c>
      <c r="C22" s="2">
        <v>16.420000000000002</v>
      </c>
      <c r="D22" s="17">
        <v>2.0799999999999999E-2</v>
      </c>
      <c r="E22" s="4">
        <f t="shared" si="9"/>
        <v>759.33249999999998</v>
      </c>
      <c r="F22" s="4">
        <f t="shared" si="10"/>
        <v>19.073795436892503</v>
      </c>
      <c r="G22" s="4">
        <f t="shared" si="11"/>
        <v>797.480090873785</v>
      </c>
      <c r="H22" s="4">
        <f t="shared" si="12"/>
        <v>721.18490912621496</v>
      </c>
      <c r="I22" s="4">
        <f t="shared" si="0"/>
        <v>771.0440000000001</v>
      </c>
      <c r="J22" s="4">
        <f t="shared" si="1"/>
        <v>757.95400000000006</v>
      </c>
      <c r="K22" s="4">
        <f t="shared" si="2"/>
        <v>759.33249999999998</v>
      </c>
      <c r="L22" s="4">
        <f t="shared" si="3"/>
        <v>735.62666666666701</v>
      </c>
      <c r="M22" s="11" t="str">
        <f t="shared" si="4"/>
        <v>打結隊形，忽上忽下看不懂</v>
      </c>
      <c r="N22" s="7" t="str">
        <f t="shared" si="5"/>
        <v/>
      </c>
      <c r="O22" s="21">
        <f t="shared" si="6"/>
        <v>100</v>
      </c>
      <c r="P22" s="4">
        <f t="shared" si="7"/>
        <v>82.212810911915952</v>
      </c>
      <c r="Q22" s="4">
        <f t="shared" si="8"/>
        <v>62.440832875190139</v>
      </c>
    </row>
    <row r="23" spans="1:17" x14ac:dyDescent="0.25">
      <c r="A23" s="1" t="s">
        <v>21</v>
      </c>
      <c r="B23" s="2">
        <v>788.42</v>
      </c>
      <c r="C23" s="2">
        <v>14.46</v>
      </c>
      <c r="D23" s="17">
        <v>1.8700000000000001E-2</v>
      </c>
      <c r="E23" s="4">
        <f t="shared" si="9"/>
        <v>756.82650000000012</v>
      </c>
      <c r="F23" s="4">
        <f t="shared" si="10"/>
        <v>15.789946260033215</v>
      </c>
      <c r="G23" s="4">
        <f t="shared" si="11"/>
        <v>788.40639252006656</v>
      </c>
      <c r="H23" s="4">
        <f t="shared" si="12"/>
        <v>725.24660747993369</v>
      </c>
      <c r="I23" s="4">
        <f t="shared" si="0"/>
        <v>757.01800000000003</v>
      </c>
      <c r="J23" s="4">
        <f t="shared" si="1"/>
        <v>753.8660000000001</v>
      </c>
      <c r="K23" s="4">
        <f t="shared" si="2"/>
        <v>756.82650000000012</v>
      </c>
      <c r="L23" s="4">
        <f t="shared" si="3"/>
        <v>735.348166666667</v>
      </c>
      <c r="M23" s="11" t="str">
        <f t="shared" si="4"/>
        <v>打結隊形，忽上忽下看不懂</v>
      </c>
      <c r="N23" s="7" t="str">
        <f t="shared" si="5"/>
        <v>★黃金交叉(買訊)</v>
      </c>
      <c r="O23" s="21">
        <f t="shared" si="6"/>
        <v>100</v>
      </c>
      <c r="P23" s="4">
        <f t="shared" si="7"/>
        <v>73.319216367873935</v>
      </c>
      <c r="Q23" s="4">
        <f t="shared" si="8"/>
        <v>52.554843856827233</v>
      </c>
    </row>
    <row r="24" spans="1:17" x14ac:dyDescent="0.25">
      <c r="A24" s="1" t="s">
        <v>22</v>
      </c>
      <c r="B24" s="2">
        <v>773.96</v>
      </c>
      <c r="C24" s="2">
        <v>14.02</v>
      </c>
      <c r="D24" s="17">
        <v>1.84E-2</v>
      </c>
      <c r="E24" s="4">
        <f t="shared" si="9"/>
        <v>754.20950000000005</v>
      </c>
      <c r="F24" s="4">
        <f t="shared" si="10"/>
        <v>14.56820599980079</v>
      </c>
      <c r="G24" s="4">
        <f t="shared" si="11"/>
        <v>783.34591199960164</v>
      </c>
      <c r="H24" s="4">
        <f t="shared" si="12"/>
        <v>725.07308800039846</v>
      </c>
      <c r="I24" s="4">
        <f t="shared" si="0"/>
        <v>745.226</v>
      </c>
      <c r="J24" s="4">
        <f t="shared" si="1"/>
        <v>750.45400000000006</v>
      </c>
      <c r="K24" s="4">
        <f t="shared" si="2"/>
        <v>754.20950000000005</v>
      </c>
      <c r="L24" s="4">
        <f t="shared" si="3"/>
        <v>734.78483333333361</v>
      </c>
      <c r="M24" s="11" t="str">
        <f t="shared" si="4"/>
        <v>撤退隊形，股票跌慘</v>
      </c>
      <c r="N24" s="7" t="str">
        <f t="shared" si="5"/>
        <v/>
      </c>
      <c r="O24" s="21">
        <f t="shared" si="6"/>
        <v>100</v>
      </c>
      <c r="P24" s="4">
        <f t="shared" si="7"/>
        <v>59.978824551810902</v>
      </c>
      <c r="Q24" s="4">
        <f t="shared" si="8"/>
        <v>42.172657601303882</v>
      </c>
    </row>
    <row r="25" spans="1:17" x14ac:dyDescent="0.25">
      <c r="A25" s="1" t="s">
        <v>23</v>
      </c>
      <c r="B25" s="2">
        <v>759.94</v>
      </c>
      <c r="C25" s="2">
        <v>31.88</v>
      </c>
      <c r="D25" s="17">
        <v>4.3799999999999999E-2</v>
      </c>
      <c r="E25" s="4">
        <f t="shared" si="9"/>
        <v>751.84650000000011</v>
      </c>
      <c r="F25" s="4">
        <f t="shared" si="10"/>
        <v>15.021799694198814</v>
      </c>
      <c r="G25" s="4">
        <f t="shared" si="11"/>
        <v>781.89009938839774</v>
      </c>
      <c r="H25" s="4">
        <f t="shared" si="12"/>
        <v>721.80290061160247</v>
      </c>
      <c r="I25" s="4">
        <f t="shared" si="0"/>
        <v>739.904</v>
      </c>
      <c r="J25" s="4">
        <f t="shared" si="1"/>
        <v>750.00200000000007</v>
      </c>
      <c r="K25" s="4">
        <f t="shared" si="2"/>
        <v>751.84650000000011</v>
      </c>
      <c r="L25" s="4">
        <f t="shared" si="3"/>
        <v>734.45083333333366</v>
      </c>
      <c r="M25" s="11" t="str">
        <f t="shared" si="4"/>
        <v>撤退隊形，股票跌慘</v>
      </c>
      <c r="N25" s="7" t="str">
        <f t="shared" si="5"/>
        <v/>
      </c>
      <c r="O25" s="21">
        <f t="shared" si="6"/>
        <v>88.802228412256341</v>
      </c>
      <c r="P25" s="4">
        <f t="shared" si="7"/>
        <v>39.968236827716368</v>
      </c>
      <c r="Q25" s="4">
        <f t="shared" si="8"/>
        <v>33.269574126050372</v>
      </c>
    </row>
    <row r="26" spans="1:17" x14ac:dyDescent="0.25">
      <c r="A26" s="1" t="s">
        <v>24</v>
      </c>
      <c r="B26" s="2">
        <v>728.06</v>
      </c>
      <c r="C26" s="2">
        <v>-6.65</v>
      </c>
      <c r="D26" s="17">
        <v>-9.1000000000000004E-3</v>
      </c>
      <c r="E26" s="4">
        <f t="shared" si="9"/>
        <v>750.61300000000006</v>
      </c>
      <c r="F26" s="4">
        <f t="shared" si="10"/>
        <v>15.331906909242706</v>
      </c>
      <c r="G26" s="4">
        <f t="shared" si="11"/>
        <v>781.27681381848549</v>
      </c>
      <c r="H26" s="4">
        <f t="shared" si="12"/>
        <v>719.94918618151462</v>
      </c>
      <c r="I26" s="4">
        <f t="shared" si="0"/>
        <v>737.78800000000001</v>
      </c>
      <c r="J26" s="4">
        <f t="shared" si="1"/>
        <v>749.84399999999994</v>
      </c>
      <c r="K26" s="4">
        <f t="shared" si="2"/>
        <v>750.61300000000006</v>
      </c>
      <c r="L26" s="4">
        <f t="shared" si="3"/>
        <v>735.06083333333356</v>
      </c>
      <c r="M26" s="11" t="str">
        <f t="shared" si="4"/>
        <v>撤退隊形，股票跌慘</v>
      </c>
      <c r="N26" s="7" t="str">
        <f t="shared" si="5"/>
        <v/>
      </c>
      <c r="O26" s="21">
        <f t="shared" si="6"/>
        <v>0</v>
      </c>
      <c r="P26" s="4">
        <f t="shared" si="7"/>
        <v>15.551241035446385</v>
      </c>
      <c r="Q26" s="4">
        <f t="shared" si="8"/>
        <v>29.920242775217375</v>
      </c>
    </row>
    <row r="27" spans="1:17" x14ac:dyDescent="0.25">
      <c r="A27" s="1" t="s">
        <v>25</v>
      </c>
      <c r="B27" s="2">
        <v>734.71</v>
      </c>
      <c r="C27" s="2">
        <v>5.25</v>
      </c>
      <c r="D27" s="17">
        <v>7.1999999999999998E-3</v>
      </c>
      <c r="E27" s="4">
        <f t="shared" si="9"/>
        <v>751.81400000000008</v>
      </c>
      <c r="F27" s="4">
        <f t="shared" si="10"/>
        <v>14.383737673973481</v>
      </c>
      <c r="G27" s="4">
        <f t="shared" si="11"/>
        <v>780.58147534794705</v>
      </c>
      <c r="H27" s="4">
        <f t="shared" si="12"/>
        <v>723.04652465205311</v>
      </c>
      <c r="I27" s="4">
        <f t="shared" si="0"/>
        <v>744.86400000000003</v>
      </c>
      <c r="J27" s="4">
        <f t="shared" si="1"/>
        <v>750.89200000000005</v>
      </c>
      <c r="K27" s="4">
        <f t="shared" si="2"/>
        <v>751.81400000000008</v>
      </c>
      <c r="L27" s="4">
        <f t="shared" si="3"/>
        <v>736.12483333333353</v>
      </c>
      <c r="M27" s="11" t="str">
        <f t="shared" si="4"/>
        <v>撤退隊形，股票跌慘</v>
      </c>
      <c r="N27" s="7" t="str">
        <f t="shared" si="5"/>
        <v/>
      </c>
      <c r="O27" s="21">
        <f t="shared" si="6"/>
        <v>13.131565782891439</v>
      </c>
      <c r="P27" s="4">
        <f t="shared" si="7"/>
        <v>23.326861553169579</v>
      </c>
      <c r="Q27" s="4">
        <f t="shared" si="8"/>
        <v>37.104743645102872</v>
      </c>
    </row>
    <row r="28" spans="1:17" x14ac:dyDescent="0.25">
      <c r="A28" s="1" t="s">
        <v>26</v>
      </c>
      <c r="B28" s="2">
        <v>729.46</v>
      </c>
      <c r="C28" s="2">
        <v>-17.89</v>
      </c>
      <c r="D28" s="17">
        <v>-2.3900000000000001E-2</v>
      </c>
      <c r="E28" s="4">
        <f t="shared" si="9"/>
        <v>752.45</v>
      </c>
      <c r="F28" s="4">
        <f t="shared" si="10"/>
        <v>13.8593100002926</v>
      </c>
      <c r="G28" s="4">
        <f t="shared" si="11"/>
        <v>780.16862000058529</v>
      </c>
      <c r="H28" s="4">
        <f t="shared" si="12"/>
        <v>724.7313799994148</v>
      </c>
      <c r="I28" s="4">
        <f t="shared" si="0"/>
        <v>750.71400000000006</v>
      </c>
      <c r="J28" s="4">
        <f t="shared" si="1"/>
        <v>753.26299999999992</v>
      </c>
      <c r="K28" s="4">
        <f t="shared" si="2"/>
        <v>752.45</v>
      </c>
      <c r="L28" s="4">
        <f t="shared" si="3"/>
        <v>737.14133333333359</v>
      </c>
      <c r="M28" s="11" t="str">
        <f t="shared" si="4"/>
        <v>打結隊形，忽上忽下看不懂</v>
      </c>
      <c r="N28" s="7" t="str">
        <f t="shared" si="5"/>
        <v/>
      </c>
      <c r="O28" s="21">
        <f t="shared" si="6"/>
        <v>0</v>
      </c>
      <c r="P28" s="4">
        <f t="shared" si="7"/>
        <v>28.42450943830865</v>
      </c>
      <c r="Q28" s="4">
        <f t="shared" si="8"/>
        <v>43.993684691069518</v>
      </c>
    </row>
    <row r="29" spans="1:17" x14ac:dyDescent="0.25">
      <c r="A29" s="1" t="s">
        <v>27</v>
      </c>
      <c r="B29" s="2">
        <v>747.35</v>
      </c>
      <c r="C29" s="2">
        <v>-2.0099999999999998</v>
      </c>
      <c r="D29" s="17">
        <v>-2.7000000000000001E-3</v>
      </c>
      <c r="E29" s="4">
        <f t="shared" si="9"/>
        <v>753.91150000000005</v>
      </c>
      <c r="F29" s="4">
        <f t="shared" si="10"/>
        <v>12.808728222747588</v>
      </c>
      <c r="G29" s="4">
        <f t="shared" si="11"/>
        <v>779.52895644549517</v>
      </c>
      <c r="H29" s="4">
        <f t="shared" si="12"/>
        <v>728.29404355450492</v>
      </c>
      <c r="I29" s="4">
        <f t="shared" si="0"/>
        <v>755.68200000000002</v>
      </c>
      <c r="J29" s="4">
        <f t="shared" si="1"/>
        <v>758.05899999999997</v>
      </c>
      <c r="K29" s="4">
        <f t="shared" si="2"/>
        <v>753.91150000000005</v>
      </c>
      <c r="L29" s="4">
        <f t="shared" si="3"/>
        <v>738.49366666666685</v>
      </c>
      <c r="M29" s="11" t="str">
        <f t="shared" si="4"/>
        <v>打結隊形，忽上忽下看不懂</v>
      </c>
      <c r="N29" s="7" t="str">
        <f t="shared" si="5"/>
        <v>▲死亡交叉(賣訊)</v>
      </c>
      <c r="O29" s="21">
        <f t="shared" si="6"/>
        <v>28.511326860841528</v>
      </c>
      <c r="P29" s="4">
        <f t="shared" si="7"/>
        <v>42.636764157462977</v>
      </c>
      <c r="Q29" s="4">
        <f t="shared" si="8"/>
        <v>51.778272317449954</v>
      </c>
    </row>
    <row r="30" spans="1:17" x14ac:dyDescent="0.25">
      <c r="A30" s="1" t="s">
        <v>28</v>
      </c>
      <c r="B30" s="2">
        <v>749.36</v>
      </c>
      <c r="C30" s="2">
        <v>-14.08</v>
      </c>
      <c r="D30" s="17">
        <v>-1.84E-2</v>
      </c>
      <c r="E30" s="4">
        <f t="shared" si="9"/>
        <v>755.45200000000011</v>
      </c>
      <c r="F30" s="4">
        <f t="shared" si="10"/>
        <v>13.792981663073967</v>
      </c>
      <c r="G30" s="4">
        <f t="shared" si="11"/>
        <v>783.03796332614809</v>
      </c>
      <c r="H30" s="4">
        <f t="shared" si="12"/>
        <v>727.86603667385214</v>
      </c>
      <c r="I30" s="4">
        <f t="shared" si="0"/>
        <v>760.10000000000014</v>
      </c>
      <c r="J30" s="4">
        <f t="shared" si="1"/>
        <v>759.02900000000011</v>
      </c>
      <c r="K30" s="4">
        <f t="shared" si="2"/>
        <v>755.45200000000011</v>
      </c>
      <c r="L30" s="4">
        <f t="shared" si="3"/>
        <v>739.31233333333353</v>
      </c>
      <c r="M30" s="11" t="str">
        <f t="shared" si="4"/>
        <v>進攻隊形，股票大漲</v>
      </c>
      <c r="N30" s="7" t="str">
        <f t="shared" si="5"/>
        <v/>
      </c>
      <c r="O30" s="21">
        <f t="shared" si="6"/>
        <v>27.829218106996017</v>
      </c>
      <c r="P30" s="4">
        <f t="shared" si="7"/>
        <v>49.699482805773712</v>
      </c>
      <c r="Q30" s="4">
        <f t="shared" si="8"/>
        <v>56.349026397443453</v>
      </c>
    </row>
    <row r="31" spans="1:17" x14ac:dyDescent="0.25">
      <c r="A31" s="1" t="s">
        <v>29</v>
      </c>
      <c r="B31" s="2">
        <v>763.44</v>
      </c>
      <c r="C31" s="2">
        <v>-0.52</v>
      </c>
      <c r="D31" s="17">
        <v>-6.9999999999999999E-4</v>
      </c>
      <c r="E31" s="4">
        <f t="shared" si="9"/>
        <v>756.73650000000009</v>
      </c>
      <c r="F31" s="4">
        <f t="shared" si="10"/>
        <v>14.379537462365708</v>
      </c>
      <c r="G31" s="4">
        <f t="shared" si="11"/>
        <v>785.4955749247315</v>
      </c>
      <c r="H31" s="4">
        <f t="shared" si="12"/>
        <v>727.97742507526868</v>
      </c>
      <c r="I31" s="4">
        <f t="shared" si="0"/>
        <v>761.9</v>
      </c>
      <c r="J31" s="4">
        <f t="shared" si="1"/>
        <v>761.16200000000003</v>
      </c>
      <c r="K31" s="4">
        <f t="shared" si="2"/>
        <v>756.73650000000009</v>
      </c>
      <c r="L31" s="4">
        <f t="shared" si="3"/>
        <v>739.85816666666688</v>
      </c>
      <c r="M31" s="11" t="str">
        <f t="shared" si="4"/>
        <v>進攻隊形，股票大漲</v>
      </c>
      <c r="N31" s="7" t="str">
        <f t="shared" si="5"/>
        <v>★黃金交叉(買訊)</v>
      </c>
      <c r="O31" s="21">
        <f t="shared" si="6"/>
        <v>64.043209876543443</v>
      </c>
      <c r="P31" s="4">
        <f t="shared" si="7"/>
        <v>60.634615155162564</v>
      </c>
      <c r="Q31" s="4">
        <f t="shared" si="8"/>
        <v>59.67379819327833</v>
      </c>
    </row>
    <row r="32" spans="1:17" x14ac:dyDescent="0.25">
      <c r="A32" s="1" t="s">
        <v>30</v>
      </c>
      <c r="B32" s="2">
        <v>763.96</v>
      </c>
      <c r="C32" s="2">
        <v>9.66</v>
      </c>
      <c r="D32" s="17">
        <v>1.2800000000000001E-2</v>
      </c>
      <c r="E32" s="4">
        <f t="shared" si="9"/>
        <v>756.822</v>
      </c>
      <c r="F32" s="4">
        <f t="shared" si="10"/>
        <v>14.42650105297812</v>
      </c>
      <c r="G32" s="4">
        <f t="shared" si="11"/>
        <v>785.6750021059562</v>
      </c>
      <c r="H32" s="4">
        <f t="shared" si="12"/>
        <v>727.96899789404381</v>
      </c>
      <c r="I32" s="4">
        <f t="shared" si="0"/>
        <v>756.92</v>
      </c>
      <c r="J32" s="4">
        <f t="shared" si="1"/>
        <v>760.71100000000001</v>
      </c>
      <c r="K32" s="4">
        <f t="shared" si="2"/>
        <v>756.822</v>
      </c>
      <c r="L32" s="4">
        <f t="shared" si="3"/>
        <v>740.11133333333339</v>
      </c>
      <c r="M32" s="11" t="str">
        <f t="shared" si="4"/>
        <v>打結隊形，忽上忽下看不懂</v>
      </c>
      <c r="N32" s="7" t="str">
        <f t="shared" si="5"/>
        <v/>
      </c>
      <c r="O32" s="21">
        <f t="shared" si="6"/>
        <v>65.38065843621419</v>
      </c>
      <c r="P32" s="4">
        <f t="shared" si="7"/>
        <v>58.930317794472131</v>
      </c>
      <c r="Q32" s="4">
        <f t="shared" si="8"/>
        <v>59.193389712336213</v>
      </c>
    </row>
    <row r="33" spans="1:17" x14ac:dyDescent="0.25">
      <c r="A33" s="1" t="s">
        <v>31</v>
      </c>
      <c r="B33" s="2">
        <v>754.3</v>
      </c>
      <c r="C33" s="2">
        <v>-15.14</v>
      </c>
      <c r="D33" s="17">
        <v>-1.9699999999999999E-2</v>
      </c>
      <c r="E33" s="4">
        <f t="shared" si="9"/>
        <v>756.06799999999998</v>
      </c>
      <c r="F33" s="4">
        <f t="shared" si="10"/>
        <v>14.4278763801921</v>
      </c>
      <c r="G33" s="4">
        <f t="shared" si="11"/>
        <v>784.92375276038422</v>
      </c>
      <c r="H33" s="4">
        <f t="shared" si="12"/>
        <v>727.21224723961575</v>
      </c>
      <c r="I33" s="4">
        <f t="shared" si="0"/>
        <v>755.81200000000001</v>
      </c>
      <c r="J33" s="4">
        <f t="shared" si="1"/>
        <v>759.78700000000003</v>
      </c>
      <c r="K33" s="4">
        <f t="shared" si="2"/>
        <v>756.06799999999998</v>
      </c>
      <c r="L33" s="4">
        <f t="shared" si="3"/>
        <v>740.28033333333337</v>
      </c>
      <c r="M33" s="11" t="str">
        <f t="shared" si="4"/>
        <v>打結隊形，忽上忽下看不懂</v>
      </c>
      <c r="N33" s="7" t="str">
        <f t="shared" si="5"/>
        <v>▲死亡交叉(賣訊)</v>
      </c>
      <c r="O33" s="21">
        <f t="shared" si="6"/>
        <v>40.534979423868293</v>
      </c>
      <c r="P33" s="4">
        <f t="shared" si="7"/>
        <v>55.705147473601102</v>
      </c>
      <c r="Q33" s="4">
        <f t="shared" si="8"/>
        <v>59.324925671268261</v>
      </c>
    </row>
    <row r="34" spans="1:17" x14ac:dyDescent="0.25">
      <c r="A34" s="1" t="s">
        <v>32</v>
      </c>
      <c r="B34" s="2">
        <v>769.44</v>
      </c>
      <c r="C34" s="2">
        <v>11.08</v>
      </c>
      <c r="D34" s="17">
        <v>1.46E-2</v>
      </c>
      <c r="E34" s="4">
        <f t="shared" si="9"/>
        <v>754.92049999999995</v>
      </c>
      <c r="F34" s="4">
        <f t="shared" si="10"/>
        <v>15.45217970486943</v>
      </c>
      <c r="G34" s="4">
        <f t="shared" si="11"/>
        <v>785.82485940973879</v>
      </c>
      <c r="H34" s="4">
        <f t="shared" si="12"/>
        <v>724.0161405902611</v>
      </c>
      <c r="I34" s="4">
        <f t="shared" si="0"/>
        <v>760.43600000000004</v>
      </c>
      <c r="J34" s="4">
        <f t="shared" si="1"/>
        <v>757.96500000000003</v>
      </c>
      <c r="K34" s="4">
        <f t="shared" si="2"/>
        <v>754.92049999999995</v>
      </c>
      <c r="L34" s="4">
        <f t="shared" si="3"/>
        <v>740.22966666666662</v>
      </c>
      <c r="M34" s="11" t="str">
        <f t="shared" si="4"/>
        <v>進攻隊形，股票大漲</v>
      </c>
      <c r="N34" s="7" t="str">
        <f t="shared" si="5"/>
        <v/>
      </c>
      <c r="O34" s="21">
        <f t="shared" si="6"/>
        <v>79.475308641975545</v>
      </c>
      <c r="P34" s="4">
        <f t="shared" si="7"/>
        <v>63.29023149846752</v>
      </c>
      <c r="Q34" s="4">
        <f t="shared" si="8"/>
        <v>61.134814770101848</v>
      </c>
    </row>
    <row r="35" spans="1:17" x14ac:dyDescent="0.25">
      <c r="A35" s="1" t="s">
        <v>33</v>
      </c>
      <c r="B35" s="2">
        <v>758.36</v>
      </c>
      <c r="C35" s="2">
        <v>19.82</v>
      </c>
      <c r="D35" s="17">
        <v>2.6800000000000001E-2</v>
      </c>
      <c r="E35" s="4">
        <f t="shared" si="9"/>
        <v>752.63149999999996</v>
      </c>
      <c r="F35" s="4">
        <f t="shared" si="10"/>
        <v>16.540603716787039</v>
      </c>
      <c r="G35" s="4">
        <f t="shared" si="11"/>
        <v>785.712707433574</v>
      </c>
      <c r="H35" s="4">
        <f t="shared" si="12"/>
        <v>719.55029256642592</v>
      </c>
      <c r="I35" s="4">
        <f t="shared" si="0"/>
        <v>757.95799999999997</v>
      </c>
      <c r="J35" s="4">
        <f t="shared" si="1"/>
        <v>753.69100000000003</v>
      </c>
      <c r="K35" s="4">
        <f t="shared" si="2"/>
        <v>752.63149999999996</v>
      </c>
      <c r="L35" s="4">
        <f t="shared" si="3"/>
        <v>739.68033333333324</v>
      </c>
      <c r="M35" s="11" t="str">
        <f t="shared" si="4"/>
        <v>進攻隊形，股票大漲</v>
      </c>
      <c r="N35" s="7" t="str">
        <f t="shared" si="5"/>
        <v/>
      </c>
      <c r="O35" s="21">
        <f t="shared" si="6"/>
        <v>53.894533139816204</v>
      </c>
      <c r="P35" s="4">
        <f t="shared" si="7"/>
        <v>55.197692926713522</v>
      </c>
      <c r="Q35" s="4">
        <f t="shared" si="8"/>
        <v>60.057106405919015</v>
      </c>
    </row>
    <row r="36" spans="1:17" x14ac:dyDescent="0.25">
      <c r="A36" s="1" t="s">
        <v>34</v>
      </c>
      <c r="B36" s="2">
        <v>738.54</v>
      </c>
      <c r="C36" s="2">
        <v>-19.88</v>
      </c>
      <c r="D36" s="17">
        <v>-2.6200000000000001E-2</v>
      </c>
      <c r="E36" s="4">
        <f t="shared" si="9"/>
        <v>750.37849999999992</v>
      </c>
      <c r="F36" s="4">
        <f t="shared" si="10"/>
        <v>18.653165182236215</v>
      </c>
      <c r="G36" s="4">
        <f t="shared" si="11"/>
        <v>787.6848303644723</v>
      </c>
      <c r="H36" s="4">
        <f t="shared" si="12"/>
        <v>713.07216963552753</v>
      </c>
      <c r="I36" s="4">
        <f t="shared" si="0"/>
        <v>760.42400000000009</v>
      </c>
      <c r="J36" s="4">
        <f t="shared" si="1"/>
        <v>751.38199999999995</v>
      </c>
      <c r="K36" s="4">
        <f t="shared" si="2"/>
        <v>750.37849999999992</v>
      </c>
      <c r="L36" s="4">
        <f t="shared" si="3"/>
        <v>739.3988333333333</v>
      </c>
      <c r="M36" s="11" t="str">
        <f t="shared" si="4"/>
        <v>進攻隊形，股票大漲</v>
      </c>
      <c r="N36" s="7" t="str">
        <f t="shared" si="5"/>
        <v/>
      </c>
      <c r="O36" s="21">
        <f t="shared" si="6"/>
        <v>23.343848580441517</v>
      </c>
      <c r="P36" s="4">
        <f t="shared" si="7"/>
        <v>55.849272820162192</v>
      </c>
      <c r="Q36" s="4">
        <f t="shared" si="8"/>
        <v>62.486813145521765</v>
      </c>
    </row>
    <row r="37" spans="1:17" x14ac:dyDescent="0.25">
      <c r="A37" s="1" t="s">
        <v>35</v>
      </c>
      <c r="B37" s="2">
        <v>758.42</v>
      </c>
      <c r="C37" s="2">
        <v>-19</v>
      </c>
      <c r="D37" s="17">
        <v>-2.4400000000000002E-2</v>
      </c>
      <c r="E37" s="4">
        <f t="shared" si="9"/>
        <v>750.25449999999978</v>
      </c>
      <c r="F37" s="4">
        <f t="shared" si="10"/>
        <v>18.744027392605268</v>
      </c>
      <c r="G37" s="4">
        <f t="shared" si="11"/>
        <v>787.74255478521036</v>
      </c>
      <c r="H37" s="4">
        <f t="shared" si="12"/>
        <v>712.7664452147892</v>
      </c>
      <c r="I37" s="4">
        <f t="shared" si="0"/>
        <v>764.50199999999995</v>
      </c>
      <c r="J37" s="4">
        <f t="shared" si="1"/>
        <v>752.73599999999988</v>
      </c>
      <c r="K37" s="4">
        <f t="shared" si="2"/>
        <v>750.25449999999978</v>
      </c>
      <c r="L37" s="4">
        <f t="shared" si="3"/>
        <v>740.07183333333319</v>
      </c>
      <c r="M37" s="11" t="str">
        <f t="shared" si="4"/>
        <v>進攻隊形，股票大漲</v>
      </c>
      <c r="N37" s="7" t="str">
        <f t="shared" si="5"/>
        <v/>
      </c>
      <c r="O37" s="21">
        <f t="shared" si="6"/>
        <v>62.539432176656085</v>
      </c>
      <c r="P37" s="4">
        <f t="shared" si="7"/>
        <v>72.101984940022533</v>
      </c>
      <c r="Q37" s="4">
        <f t="shared" si="8"/>
        <v>65.805583308201562</v>
      </c>
    </row>
    <row r="38" spans="1:17" x14ac:dyDescent="0.25">
      <c r="A38" s="1" t="s">
        <v>36</v>
      </c>
      <c r="B38" s="2">
        <v>777.42</v>
      </c>
      <c r="C38" s="2">
        <v>20.37</v>
      </c>
      <c r="D38" s="17">
        <v>2.69E-2</v>
      </c>
      <c r="E38" s="4">
        <f t="shared" si="9"/>
        <v>748.65699999999981</v>
      </c>
      <c r="F38" s="4">
        <f t="shared" si="10"/>
        <v>19.362768967925607</v>
      </c>
      <c r="G38" s="4">
        <f t="shared" si="11"/>
        <v>787.38253793585102</v>
      </c>
      <c r="H38" s="4">
        <f t="shared" si="12"/>
        <v>709.9314620641486</v>
      </c>
      <c r="I38" s="4">
        <f t="shared" si="0"/>
        <v>763.76199999999994</v>
      </c>
      <c r="J38" s="4">
        <f t="shared" si="1"/>
        <v>751.63699999999994</v>
      </c>
      <c r="K38" s="4">
        <f t="shared" si="2"/>
        <v>748.65699999999981</v>
      </c>
      <c r="L38" s="4">
        <f t="shared" si="3"/>
        <v>739.81149999999991</v>
      </c>
      <c r="M38" s="11" t="str">
        <f t="shared" si="4"/>
        <v>進攻隊形，股票大漲</v>
      </c>
      <c r="N38" s="7" t="str">
        <f t="shared" si="5"/>
        <v/>
      </c>
      <c r="O38" s="21">
        <f t="shared" si="6"/>
        <v>100</v>
      </c>
      <c r="P38" s="4">
        <f t="shared" si="7"/>
        <v>76.883261321705746</v>
      </c>
      <c r="Q38" s="4">
        <f t="shared" si="8"/>
        <v>62.657382492291092</v>
      </c>
    </row>
    <row r="39" spans="1:17" x14ac:dyDescent="0.25">
      <c r="A39" s="1" t="s">
        <v>37</v>
      </c>
      <c r="B39" s="2">
        <v>757.05</v>
      </c>
      <c r="C39" s="2">
        <v>-13.64</v>
      </c>
      <c r="D39" s="17">
        <v>-1.77E-2</v>
      </c>
      <c r="E39" s="4">
        <f t="shared" si="9"/>
        <v>744.95249999999987</v>
      </c>
      <c r="F39" s="4">
        <f t="shared" si="10"/>
        <v>20.617034315035909</v>
      </c>
      <c r="G39" s="4">
        <f t="shared" si="11"/>
        <v>786.18656863007163</v>
      </c>
      <c r="H39" s="4">
        <f t="shared" si="12"/>
        <v>703.71843136992811</v>
      </c>
      <c r="I39" s="4">
        <f t="shared" si="0"/>
        <v>755.49400000000003</v>
      </c>
      <c r="J39" s="4">
        <f t="shared" si="1"/>
        <v>749.76400000000012</v>
      </c>
      <c r="K39" s="4">
        <f t="shared" si="2"/>
        <v>744.95249999999987</v>
      </c>
      <c r="L39" s="4">
        <f t="shared" si="3"/>
        <v>739.5476666666666</v>
      </c>
      <c r="M39" s="11" t="str">
        <f t="shared" si="4"/>
        <v>進攻隊形，股票大漲</v>
      </c>
      <c r="N39" s="7" t="str">
        <f t="shared" si="5"/>
        <v>★黃金交叉(買訊)</v>
      </c>
      <c r="O39" s="21">
        <f t="shared" si="6"/>
        <v>68.992952943850653</v>
      </c>
      <c r="P39" s="4">
        <f t="shared" si="7"/>
        <v>65.324891982558626</v>
      </c>
      <c r="Q39" s="4">
        <f t="shared" si="8"/>
        <v>55.544443077583765</v>
      </c>
    </row>
    <row r="40" spans="1:17" x14ac:dyDescent="0.25">
      <c r="A40" s="1" t="s">
        <v>38</v>
      </c>
      <c r="B40" s="2">
        <v>770.69</v>
      </c>
      <c r="C40" s="2">
        <v>11.76</v>
      </c>
      <c r="D40" s="17">
        <v>1.55E-2</v>
      </c>
      <c r="E40" s="4">
        <f t="shared" si="9"/>
        <v>741.18299999999977</v>
      </c>
      <c r="F40" s="4">
        <f t="shared" si="10"/>
        <v>24.763713287580149</v>
      </c>
      <c r="G40" s="4">
        <f t="shared" si="11"/>
        <v>790.71042657516011</v>
      </c>
      <c r="H40" s="4">
        <f t="shared" si="12"/>
        <v>691.65557342483942</v>
      </c>
      <c r="I40" s="4">
        <f t="shared" si="0"/>
        <v>749.42399999999998</v>
      </c>
      <c r="J40" s="4">
        <f t="shared" si="1"/>
        <v>751.875</v>
      </c>
      <c r="K40" s="4">
        <f t="shared" si="2"/>
        <v>741.18299999999977</v>
      </c>
      <c r="L40" s="4">
        <f t="shared" si="3"/>
        <v>739.84233333333327</v>
      </c>
      <c r="M40" s="11" t="str">
        <f t="shared" si="4"/>
        <v>打結隊形，忽上忽下看不懂</v>
      </c>
      <c r="N40" s="7" t="str">
        <f t="shared" si="5"/>
        <v/>
      </c>
      <c r="O40" s="21">
        <f t="shared" si="6"/>
        <v>100</v>
      </c>
      <c r="P40" s="4">
        <f t="shared" si="7"/>
        <v>63.490861501912633</v>
      </c>
      <c r="Q40" s="4">
        <f t="shared" si="8"/>
        <v>50.654218625096341</v>
      </c>
    </row>
    <row r="41" spans="1:17" x14ac:dyDescent="0.25">
      <c r="A41" s="1" t="s">
        <v>39</v>
      </c>
      <c r="B41" s="2">
        <v>758.93</v>
      </c>
      <c r="C41" s="2">
        <v>4.21</v>
      </c>
      <c r="D41" s="17">
        <v>5.5999999999999999E-3</v>
      </c>
      <c r="E41" s="4">
        <f t="shared" si="9"/>
        <v>734.94249999999988</v>
      </c>
      <c r="F41" s="4">
        <f t="shared" si="10"/>
        <v>31.693192341407855</v>
      </c>
      <c r="G41" s="4">
        <f t="shared" si="11"/>
        <v>798.32888468281556</v>
      </c>
      <c r="H41" s="4">
        <f t="shared" si="12"/>
        <v>671.55611531718421</v>
      </c>
      <c r="I41" s="4">
        <f t="shared" si="0"/>
        <v>742.34</v>
      </c>
      <c r="J41" s="4">
        <f t="shared" si="1"/>
        <v>752.31100000000015</v>
      </c>
      <c r="K41" s="4">
        <f t="shared" si="2"/>
        <v>734.94249999999988</v>
      </c>
      <c r="L41" s="4">
        <f t="shared" si="3"/>
        <v>740.23666666666645</v>
      </c>
      <c r="M41" s="11" t="str">
        <f t="shared" si="4"/>
        <v>打結隊形，忽上忽下看不懂</v>
      </c>
      <c r="N41" s="7" t="str">
        <f t="shared" si="5"/>
        <v/>
      </c>
      <c r="O41" s="21">
        <f t="shared" si="6"/>
        <v>62.631169840652845</v>
      </c>
      <c r="P41" s="4">
        <f t="shared" si="7"/>
        <v>45.236292252868957</v>
      </c>
      <c r="Q41" s="4">
        <f t="shared" si="8"/>
        <v>44.235897186688199</v>
      </c>
    </row>
    <row r="42" spans="1:17" x14ac:dyDescent="0.25">
      <c r="A42" s="1" t="s">
        <v>40</v>
      </c>
      <c r="B42" s="2">
        <v>754.72</v>
      </c>
      <c r="C42" s="2">
        <v>18.64</v>
      </c>
      <c r="D42" s="17">
        <v>2.53E-2</v>
      </c>
      <c r="E42" s="4">
        <f t="shared" si="9"/>
        <v>726.57749999999976</v>
      </c>
      <c r="F42" s="4">
        <f t="shared" si="10"/>
        <v>44.513935355003987</v>
      </c>
      <c r="G42" s="4">
        <f t="shared" si="11"/>
        <v>815.60537071000772</v>
      </c>
      <c r="H42" s="4">
        <f t="shared" si="12"/>
        <v>637.5496292899918</v>
      </c>
      <c r="I42" s="4">
        <f t="shared" si="0"/>
        <v>740.97</v>
      </c>
      <c r="J42" s="4">
        <f t="shared" si="1"/>
        <v>752.93299999999988</v>
      </c>
      <c r="K42" s="4">
        <f t="shared" si="2"/>
        <v>726.57749999999976</v>
      </c>
      <c r="L42" s="4">
        <f t="shared" si="3"/>
        <v>740.51733333333311</v>
      </c>
      <c r="M42" s="11" t="str">
        <f t="shared" si="4"/>
        <v>打結隊形，忽上忽下看不懂</v>
      </c>
      <c r="N42" s="7" t="str">
        <f t="shared" si="5"/>
        <v/>
      </c>
      <c r="O42" s="21">
        <f t="shared" si="6"/>
        <v>54.450058297707002</v>
      </c>
      <c r="P42" s="4">
        <f t="shared" si="7"/>
        <v>36.538853458977016</v>
      </c>
      <c r="Q42" s="4">
        <f t="shared" si="8"/>
        <v>43.73569965359782</v>
      </c>
    </row>
    <row r="43" spans="1:17" x14ac:dyDescent="0.25">
      <c r="A43" s="1" t="s">
        <v>41</v>
      </c>
      <c r="B43" s="2">
        <v>736.08</v>
      </c>
      <c r="C43" s="2">
        <v>9.3800000000000008</v>
      </c>
      <c r="D43" s="17">
        <v>1.29E-2</v>
      </c>
      <c r="E43" s="4">
        <f t="shared" si="9"/>
        <v>718.56099999999981</v>
      </c>
      <c r="F43" s="4">
        <f t="shared" si="10"/>
        <v>52.837669865751138</v>
      </c>
      <c r="G43" s="4">
        <f t="shared" si="11"/>
        <v>824.23633973150208</v>
      </c>
      <c r="H43" s="4">
        <f t="shared" si="12"/>
        <v>612.88566026849753</v>
      </c>
      <c r="I43" s="4">
        <f t="shared" si="0"/>
        <v>739.51199999999994</v>
      </c>
      <c r="J43" s="4">
        <f t="shared" si="1"/>
        <v>752.34899999999993</v>
      </c>
      <c r="K43" s="4">
        <f t="shared" si="2"/>
        <v>718.56099999999981</v>
      </c>
      <c r="L43" s="4">
        <f t="shared" si="3"/>
        <v>741.10066666666648</v>
      </c>
      <c r="M43" s="11" t="str">
        <f t="shared" si="4"/>
        <v>打結隊形，忽上忽下看不懂</v>
      </c>
      <c r="N43" s="7" t="str">
        <f t="shared" si="5"/>
        <v/>
      </c>
      <c r="O43" s="21">
        <f t="shared" si="6"/>
        <v>18.227749708511485</v>
      </c>
      <c r="P43" s="4">
        <f t="shared" si="7"/>
        <v>27.583251039612023</v>
      </c>
      <c r="Q43" s="4">
        <f t="shared" si="8"/>
        <v>47.334122750908222</v>
      </c>
    </row>
    <row r="44" spans="1:17" x14ac:dyDescent="0.25">
      <c r="A44" s="1" t="s">
        <v>42</v>
      </c>
      <c r="B44" s="2">
        <v>726.7</v>
      </c>
      <c r="C44" s="2">
        <v>-8.57</v>
      </c>
      <c r="D44" s="17">
        <v>-1.17E-2</v>
      </c>
      <c r="E44" s="4">
        <f t="shared" si="9"/>
        <v>713.48899999999981</v>
      </c>
      <c r="F44" s="4">
        <f t="shared" si="10"/>
        <v>55.850308852748235</v>
      </c>
      <c r="G44" s="4">
        <f t="shared" si="11"/>
        <v>825.18961770549629</v>
      </c>
      <c r="H44" s="4">
        <f t="shared" si="12"/>
        <v>601.78838229450332</v>
      </c>
      <c r="I44" s="4">
        <f t="shared" si="0"/>
        <v>744.03399999999999</v>
      </c>
      <c r="J44" s="4">
        <f t="shared" si="1"/>
        <v>751.87599999999998</v>
      </c>
      <c r="K44" s="4">
        <f t="shared" si="2"/>
        <v>713.48899999999981</v>
      </c>
      <c r="L44" s="4">
        <f t="shared" si="3"/>
        <v>741.81333333333316</v>
      </c>
      <c r="M44" s="11" t="str">
        <f t="shared" si="4"/>
        <v>打結隊形，忽上忽下看不懂</v>
      </c>
      <c r="N44" s="7" t="str">
        <f t="shared" si="5"/>
        <v>▲死亡交叉(賣訊)</v>
      </c>
      <c r="O44" s="21">
        <f t="shared" si="6"/>
        <v>0</v>
      </c>
      <c r="P44" s="4">
        <f t="shared" si="7"/>
        <v>32.261001705162293</v>
      </c>
      <c r="Q44" s="4">
        <f t="shared" si="8"/>
        <v>57.209558606556328</v>
      </c>
    </row>
    <row r="45" spans="1:17" x14ac:dyDescent="0.25">
      <c r="A45" s="1" t="s">
        <v>43</v>
      </c>
      <c r="B45" s="2">
        <v>735.27</v>
      </c>
      <c r="C45" s="2">
        <v>-16.809999999999999</v>
      </c>
      <c r="D45" s="17">
        <v>-2.24E-2</v>
      </c>
      <c r="E45" s="4">
        <f t="shared" si="9"/>
        <v>711.42049999999972</v>
      </c>
      <c r="F45" s="4">
        <f t="shared" si="10"/>
        <v>56.100805836692892</v>
      </c>
      <c r="G45" s="4">
        <f t="shared" si="11"/>
        <v>823.62211167338546</v>
      </c>
      <c r="H45" s="4">
        <f t="shared" si="12"/>
        <v>599.21888832661398</v>
      </c>
      <c r="I45" s="4">
        <f t="shared" si="0"/>
        <v>754.32599999999991</v>
      </c>
      <c r="J45" s="4">
        <f t="shared" si="1"/>
        <v>751.57199999999989</v>
      </c>
      <c r="K45" s="4">
        <f t="shared" si="2"/>
        <v>711.42049999999972</v>
      </c>
      <c r="L45" s="4">
        <f t="shared" si="3"/>
        <v>742.46633333333307</v>
      </c>
      <c r="M45" s="11" t="str">
        <f t="shared" si="4"/>
        <v>進攻隊形，股票大漲</v>
      </c>
      <c r="N45" s="7" t="str">
        <f t="shared" si="5"/>
        <v/>
      </c>
      <c r="O45" s="21">
        <f t="shared" si="6"/>
        <v>8.3742790002135532</v>
      </c>
      <c r="P45" s="4">
        <f t="shared" si="7"/>
        <v>48.391502557743443</v>
      </c>
      <c r="Q45" s="4">
        <f t="shared" si="8"/>
        <v>69.683837057253356</v>
      </c>
    </row>
    <row r="46" spans="1:17" x14ac:dyDescent="0.25">
      <c r="A46" s="1" t="s">
        <v>44</v>
      </c>
      <c r="B46" s="2">
        <v>752.08</v>
      </c>
      <c r="C46" s="2">
        <v>4.6500000000000004</v>
      </c>
      <c r="D46" s="17">
        <v>6.1999999999999998E-3</v>
      </c>
      <c r="E46" s="4">
        <f t="shared" si="9"/>
        <v>709.00599999999974</v>
      </c>
      <c r="F46" s="4">
        <f t="shared" si="10"/>
        <v>56.059484891638</v>
      </c>
      <c r="G46" s="4">
        <f t="shared" si="11"/>
        <v>821.12496978327579</v>
      </c>
      <c r="H46" s="4">
        <f t="shared" si="12"/>
        <v>596.8870302167237</v>
      </c>
      <c r="I46" s="4">
        <f t="shared" si="0"/>
        <v>762.28199999999993</v>
      </c>
      <c r="J46" s="4">
        <f t="shared" si="1"/>
        <v>749.375</v>
      </c>
      <c r="K46" s="4">
        <f t="shared" si="2"/>
        <v>709.00599999999974</v>
      </c>
      <c r="L46" s="4">
        <f t="shared" si="3"/>
        <v>743.50616666666645</v>
      </c>
      <c r="M46" s="11" t="str">
        <f t="shared" si="4"/>
        <v>進攻隊形，股票大漲</v>
      </c>
      <c r="N46" s="7" t="str">
        <f t="shared" si="5"/>
        <v/>
      </c>
      <c r="O46" s="21">
        <f t="shared" si="6"/>
        <v>52.146788990825819</v>
      </c>
      <c r="P46" s="4">
        <f t="shared" si="7"/>
        <v>68.400114336508395</v>
      </c>
      <c r="Q46" s="4">
        <f t="shared" si="8"/>
        <v>80.330004307008309</v>
      </c>
    </row>
    <row r="47" spans="1:17" x14ac:dyDescent="0.25">
      <c r="A47" s="1" t="s">
        <v>45</v>
      </c>
      <c r="B47" s="2">
        <v>747.43</v>
      </c>
      <c r="C47" s="2">
        <v>-11.26</v>
      </c>
      <c r="D47" s="17">
        <v>-1.4800000000000001E-2</v>
      </c>
      <c r="E47" s="4">
        <f t="shared" si="9"/>
        <v>707.65299999999979</v>
      </c>
      <c r="F47" s="4">
        <f t="shared" si="10"/>
        <v>55.286391977544852</v>
      </c>
      <c r="G47" s="4">
        <f t="shared" si="11"/>
        <v>818.22578395508947</v>
      </c>
      <c r="H47" s="4">
        <f t="shared" si="12"/>
        <v>597.08021604491012</v>
      </c>
      <c r="I47" s="4">
        <f t="shared" si="0"/>
        <v>764.89599999999996</v>
      </c>
      <c r="J47" s="4">
        <f t="shared" si="1"/>
        <v>747.77299999999991</v>
      </c>
      <c r="K47" s="4">
        <f t="shared" si="2"/>
        <v>707.65299999999979</v>
      </c>
      <c r="L47" s="4">
        <f t="shared" si="3"/>
        <v>744.13333333333321</v>
      </c>
      <c r="M47" s="11" t="str">
        <f t="shared" si="4"/>
        <v>進攻隊形，股票大漲</v>
      </c>
      <c r="N47" s="7" t="str">
        <f t="shared" si="5"/>
        <v/>
      </c>
      <c r="O47" s="21">
        <f t="shared" si="6"/>
        <v>52.62102991057661</v>
      </c>
      <c r="P47" s="4">
        <f t="shared" si="7"/>
        <v>76.526777009349686</v>
      </c>
      <c r="Q47" s="4">
        <f t="shared" si="8"/>
        <v>86.294949292258266</v>
      </c>
    </row>
    <row r="48" spans="1:17" x14ac:dyDescent="0.25">
      <c r="A48" s="1" t="s">
        <v>46</v>
      </c>
      <c r="B48" s="2">
        <v>758.69</v>
      </c>
      <c r="C48" s="2">
        <v>-19.47</v>
      </c>
      <c r="D48" s="17">
        <v>-2.5000000000000001E-2</v>
      </c>
      <c r="E48" s="4">
        <f t="shared" si="9"/>
        <v>706.22149999999988</v>
      </c>
      <c r="F48" s="4">
        <f t="shared" si="10"/>
        <v>54.56824778250288</v>
      </c>
      <c r="G48" s="4">
        <f t="shared" si="11"/>
        <v>815.35799556500569</v>
      </c>
      <c r="H48" s="4">
        <f t="shared" si="12"/>
        <v>597.08500443499406</v>
      </c>
      <c r="I48" s="4">
        <f t="shared" si="0"/>
        <v>765.18599999999992</v>
      </c>
      <c r="J48" s="4">
        <f t="shared" si="1"/>
        <v>745.67699999999991</v>
      </c>
      <c r="K48" s="4">
        <f t="shared" si="2"/>
        <v>706.22149999999988</v>
      </c>
      <c r="L48" s="4">
        <f t="shared" si="3"/>
        <v>744.74583333333328</v>
      </c>
      <c r="M48" s="11" t="str">
        <f t="shared" si="4"/>
        <v>進攻隊形，股票大漲</v>
      </c>
      <c r="N48" s="7" t="str">
        <f t="shared" si="5"/>
        <v/>
      </c>
      <c r="O48" s="21">
        <f t="shared" si="6"/>
        <v>69.981498612396067</v>
      </c>
      <c r="P48" s="4">
        <f t="shared" si="7"/>
        <v>88.479650558736239</v>
      </c>
      <c r="Q48" s="4">
        <f t="shared" si="8"/>
        <v>91.179035433712571</v>
      </c>
    </row>
    <row r="49" spans="1:17" x14ac:dyDescent="0.25">
      <c r="A49" s="1" t="s">
        <v>47</v>
      </c>
      <c r="B49" s="2">
        <v>778.16</v>
      </c>
      <c r="C49" s="2">
        <v>3.11</v>
      </c>
      <c r="D49" s="17">
        <v>4.0000000000000001E-3</v>
      </c>
      <c r="E49" s="4">
        <f t="shared" si="9"/>
        <v>702.90999999999985</v>
      </c>
      <c r="F49" s="4">
        <f t="shared" si="10"/>
        <v>53.209266308159435</v>
      </c>
      <c r="G49" s="4">
        <f t="shared" si="11"/>
        <v>809.32853261631874</v>
      </c>
      <c r="H49" s="4">
        <f t="shared" si="12"/>
        <v>596.49146738368097</v>
      </c>
      <c r="I49" s="4">
        <f t="shared" si="0"/>
        <v>759.71800000000007</v>
      </c>
      <c r="J49" s="4">
        <f t="shared" si="1"/>
        <v>740.14100000000008</v>
      </c>
      <c r="K49" s="4">
        <f t="shared" si="2"/>
        <v>702.90999999999985</v>
      </c>
      <c r="L49" s="4">
        <f t="shared" si="3"/>
        <v>744.61033333333319</v>
      </c>
      <c r="M49" s="11" t="str">
        <f t="shared" si="4"/>
        <v>進攻隊形，股票大漲</v>
      </c>
      <c r="N49" s="7" t="str">
        <f t="shared" si="5"/>
        <v/>
      </c>
      <c r="O49" s="21">
        <f t="shared" si="6"/>
        <v>100</v>
      </c>
      <c r="P49" s="4">
        <f t="shared" si="7"/>
        <v>97.728726531906332</v>
      </c>
      <c r="Q49" s="4">
        <f t="shared" si="8"/>
        <v>92.528727871200743</v>
      </c>
    </row>
    <row r="50" spans="1:17" x14ac:dyDescent="0.25">
      <c r="A50" s="1" t="s">
        <v>48</v>
      </c>
      <c r="B50" s="2">
        <v>775.05</v>
      </c>
      <c r="C50" s="2">
        <v>9.9</v>
      </c>
      <c r="D50" s="17">
        <v>1.29E-2</v>
      </c>
      <c r="E50" s="4">
        <f t="shared" si="9"/>
        <v>696.29999999999984</v>
      </c>
      <c r="F50" s="4">
        <f t="shared" si="10"/>
        <v>51.554872351290854</v>
      </c>
      <c r="G50" s="4">
        <f t="shared" si="11"/>
        <v>799.40974470258152</v>
      </c>
      <c r="H50" s="4">
        <f t="shared" si="12"/>
        <v>593.19025529741816</v>
      </c>
      <c r="I50" s="4">
        <f t="shared" si="0"/>
        <v>748.81799999999998</v>
      </c>
      <c r="J50" s="4">
        <f t="shared" si="1"/>
        <v>730.49099999999987</v>
      </c>
      <c r="K50" s="4">
        <f t="shared" si="2"/>
        <v>696.29999999999984</v>
      </c>
      <c r="L50" s="4">
        <f t="shared" si="3"/>
        <v>743.66166666666652</v>
      </c>
      <c r="M50" s="11" t="str">
        <f t="shared" si="4"/>
        <v>進攻隊形，股票大漲</v>
      </c>
      <c r="N50" s="7" t="str">
        <f t="shared" si="5"/>
        <v/>
      </c>
      <c r="O50" s="21">
        <f t="shared" si="6"/>
        <v>100</v>
      </c>
      <c r="P50" s="4">
        <f t="shared" si="7"/>
        <v>96.593089797859506</v>
      </c>
      <c r="Q50" s="4">
        <f t="shared" si="8"/>
        <v>89.92872854084797</v>
      </c>
    </row>
    <row r="51" spans="1:17" x14ac:dyDescent="0.25">
      <c r="A51" s="1" t="s">
        <v>49</v>
      </c>
      <c r="B51" s="2">
        <v>765.15</v>
      </c>
      <c r="C51" s="2">
        <v>16.27</v>
      </c>
      <c r="D51" s="17">
        <v>2.1700000000000001E-2</v>
      </c>
      <c r="E51" s="4">
        <f t="shared" si="9"/>
        <v>690.71599999999989</v>
      </c>
      <c r="F51" s="4">
        <f t="shared" si="10"/>
        <v>48.536146963940816</v>
      </c>
      <c r="G51" s="4">
        <f t="shared" si="11"/>
        <v>787.78829392788157</v>
      </c>
      <c r="H51" s="4">
        <f t="shared" si="12"/>
        <v>593.64370607211822</v>
      </c>
      <c r="I51" s="4">
        <f t="shared" si="0"/>
        <v>736.46800000000007</v>
      </c>
      <c r="J51" s="4">
        <f t="shared" si="1"/>
        <v>717.57399999999996</v>
      </c>
      <c r="K51" s="4">
        <f t="shared" si="2"/>
        <v>690.71599999999989</v>
      </c>
      <c r="L51" s="4">
        <f t="shared" si="3"/>
        <v>742.09949999999969</v>
      </c>
      <c r="M51" s="11" t="str">
        <f t="shared" si="4"/>
        <v>進攻隊形，股票大漲</v>
      </c>
      <c r="N51" s="7" t="str">
        <f t="shared" si="5"/>
        <v/>
      </c>
      <c r="O51" s="21">
        <f t="shared" si="6"/>
        <v>100</v>
      </c>
      <c r="P51" s="4">
        <f t="shared" si="7"/>
        <v>94.889634696789258</v>
      </c>
      <c r="Q51" s="4">
        <f t="shared" si="8"/>
        <v>86.596547912342217</v>
      </c>
    </row>
    <row r="52" spans="1:17" x14ac:dyDescent="0.25">
      <c r="A52" s="1" t="s">
        <v>50</v>
      </c>
      <c r="B52" s="2">
        <v>748.88</v>
      </c>
      <c r="C52" s="2">
        <v>17.53</v>
      </c>
      <c r="D52" s="17">
        <v>2.4E-2</v>
      </c>
      <c r="E52" s="4">
        <f t="shared" si="9"/>
        <v>688.678</v>
      </c>
      <c r="F52" s="4">
        <f t="shared" si="10"/>
        <v>46.037652050422693</v>
      </c>
      <c r="G52" s="4">
        <f t="shared" si="11"/>
        <v>780.75330410084541</v>
      </c>
      <c r="H52" s="4">
        <f t="shared" si="12"/>
        <v>596.60269589915458</v>
      </c>
      <c r="I52" s="4">
        <f t="shared" si="0"/>
        <v>730.64999999999986</v>
      </c>
      <c r="J52" s="4">
        <f t="shared" si="1"/>
        <v>700.22199999999998</v>
      </c>
      <c r="K52" s="4">
        <f t="shared" si="2"/>
        <v>688.678</v>
      </c>
      <c r="L52" s="4">
        <f t="shared" si="3"/>
        <v>740.82383333333325</v>
      </c>
      <c r="M52" s="11" t="str">
        <f t="shared" si="4"/>
        <v>進攻隊形，股票大漲</v>
      </c>
      <c r="N52" s="7" t="str">
        <f t="shared" si="5"/>
        <v/>
      </c>
      <c r="O52" s="21">
        <f t="shared" si="6"/>
        <v>100</v>
      </c>
      <c r="P52" s="4">
        <f t="shared" si="7"/>
        <v>92.334452045183895</v>
      </c>
      <c r="Q52" s="4">
        <f t="shared" si="8"/>
        <v>82.450004520118711</v>
      </c>
    </row>
    <row r="53" spans="1:17" x14ac:dyDescent="0.25">
      <c r="A53" s="1" t="s">
        <v>51</v>
      </c>
      <c r="B53" s="2">
        <v>731.35</v>
      </c>
      <c r="C53" s="2">
        <v>7.69</v>
      </c>
      <c r="D53" s="17">
        <v>1.06E-2</v>
      </c>
      <c r="E53" s="4">
        <f t="shared" si="9"/>
        <v>688.05199999999991</v>
      </c>
      <c r="F53" s="4">
        <f t="shared" si="10"/>
        <v>45.254425500368697</v>
      </c>
      <c r="G53" s="4">
        <f t="shared" si="11"/>
        <v>778.56085100073733</v>
      </c>
      <c r="H53" s="4">
        <f t="shared" si="12"/>
        <v>597.54314899926248</v>
      </c>
      <c r="I53" s="4">
        <f t="shared" si="0"/>
        <v>726.16800000000001</v>
      </c>
      <c r="J53" s="4">
        <f t="shared" si="1"/>
        <v>684.77300000000002</v>
      </c>
      <c r="K53" s="4">
        <f t="shared" si="2"/>
        <v>688.05199999999991</v>
      </c>
      <c r="L53" s="4">
        <f t="shared" si="3"/>
        <v>740.1099999999999</v>
      </c>
      <c r="M53" s="11" t="str">
        <f t="shared" si="4"/>
        <v>打結隊形，忽上忽下看不懂</v>
      </c>
      <c r="N53" s="7" t="str">
        <f t="shared" si="5"/>
        <v/>
      </c>
      <c r="O53" s="21">
        <f t="shared" si="6"/>
        <v>96.738904659696786</v>
      </c>
      <c r="P53" s="4">
        <f t="shared" si="7"/>
        <v>88.501678067775842</v>
      </c>
      <c r="Q53" s="4">
        <f t="shared" si="8"/>
        <v>77.507780757586133</v>
      </c>
    </row>
    <row r="54" spans="1:17" x14ac:dyDescent="0.25">
      <c r="A54" s="1" t="s">
        <v>52</v>
      </c>
      <c r="B54" s="2">
        <v>723.66</v>
      </c>
      <c r="C54" s="2">
        <v>10.36</v>
      </c>
      <c r="D54" s="17">
        <v>1.4500000000000001E-2</v>
      </c>
      <c r="E54" s="4">
        <f t="shared" si="9"/>
        <v>687.01300000000003</v>
      </c>
      <c r="F54" s="4">
        <f t="shared" si="10"/>
        <v>44.439225572389127</v>
      </c>
      <c r="G54" s="4">
        <f t="shared" si="11"/>
        <v>775.89145114477833</v>
      </c>
      <c r="H54" s="4">
        <f t="shared" si="12"/>
        <v>598.13454885522174</v>
      </c>
      <c r="I54" s="4">
        <f t="shared" si="0"/>
        <v>720.56399999999996</v>
      </c>
      <c r="J54" s="4">
        <f t="shared" si="1"/>
        <v>675.10200000000009</v>
      </c>
      <c r="K54" s="4">
        <f t="shared" si="2"/>
        <v>687.01300000000003</v>
      </c>
      <c r="L54" s="4">
        <f t="shared" si="3"/>
        <v>739.75516666666647</v>
      </c>
      <c r="M54" s="11" t="str">
        <f t="shared" si="4"/>
        <v>打結隊形，忽上忽下看不懂</v>
      </c>
      <c r="N54" s="7" t="str">
        <f t="shared" si="5"/>
        <v/>
      </c>
      <c r="O54" s="21">
        <f t="shared" si="6"/>
        <v>91.414526067991432</v>
      </c>
      <c r="P54" s="4">
        <f t="shared" si="7"/>
        <v>84.383064771815384</v>
      </c>
      <c r="Q54" s="4">
        <f t="shared" si="8"/>
        <v>72.010832102491278</v>
      </c>
    </row>
    <row r="55" spans="1:17" x14ac:dyDescent="0.25">
      <c r="A55" s="1" t="s">
        <v>53</v>
      </c>
      <c r="B55" s="2">
        <v>713.3</v>
      </c>
      <c r="C55" s="2">
        <v>-22.76</v>
      </c>
      <c r="D55" s="17">
        <v>-3.09E-2</v>
      </c>
      <c r="E55" s="4">
        <f t="shared" si="9"/>
        <v>687.58900000000006</v>
      </c>
      <c r="F55" s="4">
        <f t="shared" si="10"/>
        <v>45.010216606314707</v>
      </c>
      <c r="G55" s="4">
        <f t="shared" si="11"/>
        <v>777.60943321262948</v>
      </c>
      <c r="H55" s="4">
        <f t="shared" si="12"/>
        <v>597.56856678737063</v>
      </c>
      <c r="I55" s="4">
        <f t="shared" si="0"/>
        <v>712.16399999999999</v>
      </c>
      <c r="J55" s="4">
        <f t="shared" si="1"/>
        <v>671.26900000000001</v>
      </c>
      <c r="K55" s="4">
        <f t="shared" si="2"/>
        <v>687.58900000000006</v>
      </c>
      <c r="L55" s="4">
        <f t="shared" si="3"/>
        <v>740.11583333333328</v>
      </c>
      <c r="M55" s="11" t="str">
        <f t="shared" si="4"/>
        <v>打結隊形，忽上忽下看不懂</v>
      </c>
      <c r="N55" s="7" t="str">
        <f t="shared" si="5"/>
        <v/>
      </c>
      <c r="O55" s="21">
        <f t="shared" si="6"/>
        <v>84.241501073184239</v>
      </c>
      <c r="P55" s="4">
        <f t="shared" si="7"/>
        <v>80.867334123727375</v>
      </c>
      <c r="Q55" s="4">
        <f t="shared" si="8"/>
        <v>65.824715767829233</v>
      </c>
    </row>
    <row r="56" spans="1:17" x14ac:dyDescent="0.25">
      <c r="A56" s="1" t="s">
        <v>54</v>
      </c>
      <c r="B56" s="2">
        <v>736.06</v>
      </c>
      <c r="C56" s="2">
        <v>9.59</v>
      </c>
      <c r="D56" s="17">
        <v>1.32E-2</v>
      </c>
      <c r="E56" s="4">
        <f t="shared" si="9"/>
        <v>689.54450000000008</v>
      </c>
      <c r="F56" s="4">
        <f t="shared" si="10"/>
        <v>46.991992204159516</v>
      </c>
      <c r="G56" s="4">
        <f t="shared" si="11"/>
        <v>783.52848440831917</v>
      </c>
      <c r="H56" s="4">
        <f t="shared" si="12"/>
        <v>595.560515591681</v>
      </c>
      <c r="I56" s="4">
        <f t="shared" si="0"/>
        <v>698.68000000000006</v>
      </c>
      <c r="J56" s="4">
        <f t="shared" si="1"/>
        <v>668.63700000000006</v>
      </c>
      <c r="K56" s="4">
        <f t="shared" si="2"/>
        <v>689.54450000000008</v>
      </c>
      <c r="L56" s="4">
        <f t="shared" si="3"/>
        <v>740.52949999999998</v>
      </c>
      <c r="M56" s="11" t="str">
        <f t="shared" si="4"/>
        <v>打結隊形，忽上忽下看不懂</v>
      </c>
      <c r="N56" s="7" t="str">
        <f t="shared" si="5"/>
        <v/>
      </c>
      <c r="O56" s="21">
        <f t="shared" si="6"/>
        <v>100</v>
      </c>
      <c r="P56" s="4">
        <f t="shared" si="7"/>
        <v>79.180250648998936</v>
      </c>
      <c r="Q56" s="4">
        <f t="shared" si="8"/>
        <v>58.303406589880169</v>
      </c>
    </row>
    <row r="57" spans="1:17" x14ac:dyDescent="0.25">
      <c r="A57" s="1" t="s">
        <v>55</v>
      </c>
      <c r="B57" s="2">
        <v>726.47</v>
      </c>
      <c r="C57" s="2">
        <v>23.14</v>
      </c>
      <c r="D57" s="17">
        <v>3.2899999999999999E-2</v>
      </c>
      <c r="E57" s="4">
        <f t="shared" si="9"/>
        <v>690.15550000000007</v>
      </c>
      <c r="F57" s="4">
        <f t="shared" si="10"/>
        <v>47.702697758313967</v>
      </c>
      <c r="G57" s="4">
        <f t="shared" si="11"/>
        <v>785.56089551662797</v>
      </c>
      <c r="H57" s="4">
        <f t="shared" si="12"/>
        <v>594.75010448337218</v>
      </c>
      <c r="I57" s="4">
        <f t="shared" si="0"/>
        <v>669.7940000000001</v>
      </c>
      <c r="J57" s="4">
        <f t="shared" si="1"/>
        <v>667.53300000000002</v>
      </c>
      <c r="K57" s="4">
        <f t="shared" si="2"/>
        <v>690.15550000000007</v>
      </c>
      <c r="L57" s="4">
        <f t="shared" si="3"/>
        <v>740.77583333333314</v>
      </c>
      <c r="M57" s="11" t="str">
        <f t="shared" si="4"/>
        <v>打結隊形，忽上忽下看不懂</v>
      </c>
      <c r="N57" s="7" t="str">
        <f t="shared" si="5"/>
        <v>★黃金交叉(買訊)</v>
      </c>
      <c r="O57" s="21">
        <f t="shared" si="6"/>
        <v>100</v>
      </c>
      <c r="P57" s="4">
        <f t="shared" si="7"/>
        <v>68.770375973498403</v>
      </c>
      <c r="Q57" s="4">
        <f t="shared" si="8"/>
        <v>47.864984560320792</v>
      </c>
    </row>
    <row r="58" spans="1:17" x14ac:dyDescent="0.25">
      <c r="A58" s="1" t="s">
        <v>56</v>
      </c>
      <c r="B58" s="2">
        <v>703.33</v>
      </c>
      <c r="C58" s="2">
        <v>21.67</v>
      </c>
      <c r="D58" s="17">
        <v>3.1800000000000002E-2</v>
      </c>
      <c r="E58" s="4">
        <f t="shared" si="9"/>
        <v>690.97</v>
      </c>
      <c r="F58" s="4">
        <f t="shared" si="10"/>
        <v>48.487992219452472</v>
      </c>
      <c r="G58" s="4">
        <f t="shared" si="11"/>
        <v>787.94598443890493</v>
      </c>
      <c r="H58" s="4">
        <f t="shared" si="12"/>
        <v>593.99401556109513</v>
      </c>
      <c r="I58" s="4">
        <f t="shared" si="0"/>
        <v>643.37799999999993</v>
      </c>
      <c r="J58" s="4">
        <f t="shared" si="1"/>
        <v>666.76600000000008</v>
      </c>
      <c r="K58" s="4">
        <f t="shared" si="2"/>
        <v>690.97</v>
      </c>
      <c r="L58" s="4">
        <f t="shared" si="3"/>
        <v>741.17133333333322</v>
      </c>
      <c r="M58" s="11" t="str">
        <f t="shared" si="4"/>
        <v>撤退隊形，股票跌慘</v>
      </c>
      <c r="N58" s="7" t="str">
        <f t="shared" si="5"/>
        <v/>
      </c>
      <c r="O58" s="21">
        <f t="shared" si="6"/>
        <v>83.739410750431105</v>
      </c>
      <c r="P58" s="4">
        <f t="shared" si="7"/>
        <v>53.155563960247626</v>
      </c>
      <c r="Q58" s="4">
        <f t="shared" si="8"/>
        <v>37.412288853731987</v>
      </c>
    </row>
    <row r="59" spans="1:17" x14ac:dyDescent="0.25">
      <c r="A59" s="1" t="s">
        <v>57</v>
      </c>
      <c r="B59" s="2">
        <v>681.66</v>
      </c>
      <c r="C59" s="2">
        <v>35.78</v>
      </c>
      <c r="D59" s="17">
        <v>5.5399999999999998E-2</v>
      </c>
      <c r="E59" s="4">
        <f t="shared" si="9"/>
        <v>695.01850000000002</v>
      </c>
      <c r="F59" s="4">
        <f t="shared" si="10"/>
        <v>52.765885437966745</v>
      </c>
      <c r="G59" s="4">
        <f t="shared" si="11"/>
        <v>800.55027087593351</v>
      </c>
      <c r="H59" s="4">
        <f t="shared" si="12"/>
        <v>589.48672912406653</v>
      </c>
      <c r="I59" s="4">
        <f t="shared" si="0"/>
        <v>629.64</v>
      </c>
      <c r="J59" s="4">
        <f t="shared" si="1"/>
        <v>665.67900000000009</v>
      </c>
      <c r="K59" s="4">
        <f t="shared" si="2"/>
        <v>695.01850000000002</v>
      </c>
      <c r="L59" s="4">
        <f t="shared" si="3"/>
        <v>741.47166666666647</v>
      </c>
      <c r="M59" s="11" t="str">
        <f t="shared" si="4"/>
        <v>撤退隊形，股票跌慘</v>
      </c>
      <c r="N59" s="7" t="str">
        <f t="shared" si="5"/>
        <v/>
      </c>
      <c r="O59" s="21">
        <f t="shared" si="6"/>
        <v>67.493815128570347</v>
      </c>
      <c r="P59" s="4">
        <f t="shared" si="7"/>
        <v>37.86364056515589</v>
      </c>
      <c r="Q59" s="4">
        <f t="shared" si="8"/>
        <v>29.54065130047417</v>
      </c>
    </row>
    <row r="60" spans="1:17" x14ac:dyDescent="0.25">
      <c r="A60" s="1" t="s">
        <v>58</v>
      </c>
      <c r="B60" s="2">
        <v>645.88</v>
      </c>
      <c r="C60" s="2">
        <v>54.25</v>
      </c>
      <c r="D60" s="17">
        <v>9.1700000000000004E-2</v>
      </c>
      <c r="E60" s="4">
        <f t="shared" si="9"/>
        <v>701.93100000000004</v>
      </c>
      <c r="F60" s="4">
        <f t="shared" si="10"/>
        <v>59.544021212085276</v>
      </c>
      <c r="G60" s="4">
        <f t="shared" si="11"/>
        <v>821.01904242417061</v>
      </c>
      <c r="H60" s="4">
        <f t="shared" si="12"/>
        <v>582.84295757582947</v>
      </c>
      <c r="I60" s="4">
        <f t="shared" si="0"/>
        <v>630.37400000000002</v>
      </c>
      <c r="J60" s="4">
        <f t="shared" si="1"/>
        <v>662.10900000000004</v>
      </c>
      <c r="K60" s="4">
        <f t="shared" si="2"/>
        <v>701.93100000000004</v>
      </c>
      <c r="L60" s="4">
        <f t="shared" si="3"/>
        <v>742.56983333333324</v>
      </c>
      <c r="M60" s="11" t="str">
        <f t="shared" si="4"/>
        <v>撤退隊形，股票跌慘</v>
      </c>
      <c r="N60" s="7" t="str">
        <f t="shared" si="5"/>
        <v/>
      </c>
      <c r="O60" s="21">
        <f t="shared" si="6"/>
        <v>40.670215158557617</v>
      </c>
      <c r="P60" s="4">
        <f t="shared" si="7"/>
        <v>23.048553283448662</v>
      </c>
      <c r="Q60" s="4">
        <f t="shared" si="8"/>
        <v>25.379156668133312</v>
      </c>
    </row>
    <row r="61" spans="1:17" x14ac:dyDescent="0.25">
      <c r="A61" s="1" t="s">
        <v>59</v>
      </c>
      <c r="B61" s="2">
        <v>591.63</v>
      </c>
      <c r="C61" s="2">
        <v>-2.76</v>
      </c>
      <c r="D61" s="17">
        <v>-4.5999999999999999E-3</v>
      </c>
      <c r="E61" s="4">
        <f t="shared" si="9"/>
        <v>710.11950000000002</v>
      </c>
      <c r="F61" s="4">
        <f t="shared" si="10"/>
        <v>62.611986617243609</v>
      </c>
      <c r="G61" s="4">
        <f t="shared" si="11"/>
        <v>835.34347323448719</v>
      </c>
      <c r="H61" s="4">
        <f t="shared" si="12"/>
        <v>584.89552676551284</v>
      </c>
      <c r="I61" s="4">
        <f t="shared" si="0"/>
        <v>638.59399999999994</v>
      </c>
      <c r="J61" s="4">
        <f t="shared" si="1"/>
        <v>663.85799999999995</v>
      </c>
      <c r="K61" s="4">
        <f t="shared" si="2"/>
        <v>710.11950000000002</v>
      </c>
      <c r="L61" s="4">
        <f t="shared" si="3"/>
        <v>744.1875</v>
      </c>
      <c r="M61" s="11" t="str">
        <f t="shared" si="4"/>
        <v>撤退隊形，股票跌慘</v>
      </c>
      <c r="N61" s="7" t="str">
        <f t="shared" si="5"/>
        <v/>
      </c>
      <c r="O61" s="21">
        <f t="shared" si="6"/>
        <v>0</v>
      </c>
      <c r="P61" s="4">
        <f t="shared" si="7"/>
        <v>14.237722345894186</v>
      </c>
      <c r="Q61" s="4">
        <f t="shared" si="8"/>
        <v>26.544458360475645</v>
      </c>
    </row>
    <row r="62" spans="1:17" x14ac:dyDescent="0.25">
      <c r="A62" s="1" t="s">
        <v>60</v>
      </c>
      <c r="B62" s="2">
        <v>594.39</v>
      </c>
      <c r="C62" s="2">
        <v>-40.25</v>
      </c>
      <c r="D62" s="17">
        <v>-6.3399999999999998E-2</v>
      </c>
      <c r="E62" s="4">
        <f t="shared" si="9"/>
        <v>720.97</v>
      </c>
      <c r="F62" s="4">
        <f t="shared" si="10"/>
        <v>59.734860138695169</v>
      </c>
      <c r="G62" s="4">
        <f t="shared" si="11"/>
        <v>840.43972027739039</v>
      </c>
      <c r="H62" s="4">
        <f t="shared" si="12"/>
        <v>601.50027972260966</v>
      </c>
      <c r="I62" s="4">
        <f t="shared" si="0"/>
        <v>665.27200000000005</v>
      </c>
      <c r="J62" s="4">
        <f t="shared" si="1"/>
        <v>677.13400000000001</v>
      </c>
      <c r="K62" s="4">
        <f t="shared" si="2"/>
        <v>720.97</v>
      </c>
      <c r="L62" s="4">
        <f t="shared" si="3"/>
        <v>746.91599999999994</v>
      </c>
      <c r="M62" s="11" t="str">
        <f t="shared" si="4"/>
        <v>撤退隊形，股票跌慘</v>
      </c>
      <c r="N62" s="7" t="str">
        <f t="shared" si="5"/>
        <v/>
      </c>
      <c r="O62" s="21">
        <f t="shared" si="6"/>
        <v>0</v>
      </c>
      <c r="P62" s="4">
        <f t="shared" si="7"/>
        <v>21.35658351884128</v>
      </c>
      <c r="Q62" s="4">
        <f t="shared" si="8"/>
        <v>32.697826367766375</v>
      </c>
    </row>
    <row r="63" spans="1:17" x14ac:dyDescent="0.25">
      <c r="A63" s="1" t="s">
        <v>61</v>
      </c>
      <c r="B63" s="2">
        <v>634.64</v>
      </c>
      <c r="C63" s="2">
        <v>-50.69</v>
      </c>
      <c r="D63" s="17">
        <v>-7.3999999999999996E-2</v>
      </c>
      <c r="E63" s="4">
        <f t="shared" si="9"/>
        <v>730.65699999999993</v>
      </c>
      <c r="F63" s="4">
        <f t="shared" si="10"/>
        <v>53.512431718443246</v>
      </c>
      <c r="G63" s="4">
        <f t="shared" si="11"/>
        <v>837.68186343688637</v>
      </c>
      <c r="H63" s="4">
        <f t="shared" si="12"/>
        <v>623.63213656311348</v>
      </c>
      <c r="I63" s="4">
        <f t="shared" si="0"/>
        <v>690.15400000000011</v>
      </c>
      <c r="J63" s="4">
        <f t="shared" si="1"/>
        <v>691.33100000000002</v>
      </c>
      <c r="K63" s="4">
        <f t="shared" si="2"/>
        <v>730.65699999999993</v>
      </c>
      <c r="L63" s="4">
        <f t="shared" si="3"/>
        <v>749.82533333333311</v>
      </c>
      <c r="M63" s="11" t="str">
        <f t="shared" si="4"/>
        <v>撤退隊形，股票跌慘</v>
      </c>
      <c r="N63" s="7" t="str">
        <f t="shared" si="5"/>
        <v>▲死亡交叉(賣訊)</v>
      </c>
      <c r="O63" s="21">
        <f t="shared" si="6"/>
        <v>0</v>
      </c>
      <c r="P63" s="4">
        <f t="shared" si="7"/>
        <v>32.034875278261921</v>
      </c>
      <c r="Q63" s="4">
        <f t="shared" si="8"/>
        <v>38.368447792228928</v>
      </c>
    </row>
    <row r="64" spans="1:17" x14ac:dyDescent="0.25">
      <c r="A64" s="1" t="s">
        <v>62</v>
      </c>
      <c r="B64" s="2">
        <v>685.33</v>
      </c>
      <c r="C64" s="2">
        <v>-1.65</v>
      </c>
      <c r="D64" s="17">
        <v>-2.3999999999999998E-3</v>
      </c>
      <c r="E64" s="4">
        <f t="shared" si="9"/>
        <v>736.65599999999995</v>
      </c>
      <c r="F64" s="4">
        <f t="shared" si="10"/>
        <v>48.689795580636897</v>
      </c>
      <c r="G64" s="4">
        <f t="shared" si="11"/>
        <v>834.03559116127371</v>
      </c>
      <c r="H64" s="4">
        <f t="shared" si="12"/>
        <v>639.27640883872618</v>
      </c>
      <c r="I64" s="4">
        <f t="shared" si="0"/>
        <v>701.71800000000007</v>
      </c>
      <c r="J64" s="4">
        <f t="shared" si="1"/>
        <v>698.92399999999998</v>
      </c>
      <c r="K64" s="4">
        <f t="shared" si="2"/>
        <v>736.65599999999995</v>
      </c>
      <c r="L64" s="4">
        <f t="shared" si="3"/>
        <v>751.58133333333319</v>
      </c>
      <c r="M64" s="11" t="str">
        <f t="shared" si="4"/>
        <v>打結隊形，忽上忽下看不懂</v>
      </c>
      <c r="N64" s="7" t="str">
        <f t="shared" si="5"/>
        <v>★黃金交叉(買訊)</v>
      </c>
      <c r="O64" s="21">
        <f t="shared" si="6"/>
        <v>43.550884955752231</v>
      </c>
      <c r="P64" s="4">
        <f t="shared" si="7"/>
        <v>48.052312917392882</v>
      </c>
      <c r="Q64" s="4">
        <f t="shared" si="8"/>
        <v>41.535234049212434</v>
      </c>
    </row>
    <row r="65" spans="1:17" x14ac:dyDescent="0.25">
      <c r="A65" s="1" t="s">
        <v>63</v>
      </c>
      <c r="B65" s="2">
        <v>686.98</v>
      </c>
      <c r="C65" s="2">
        <v>-38.04</v>
      </c>
      <c r="D65" s="17">
        <v>-5.2499999999999998E-2</v>
      </c>
      <c r="E65" s="4">
        <f t="shared" si="9"/>
        <v>740.08549999999991</v>
      </c>
      <c r="F65" s="4">
        <f t="shared" si="10"/>
        <v>47.279508020750477</v>
      </c>
      <c r="G65" s="4">
        <f t="shared" si="11"/>
        <v>834.64451604150088</v>
      </c>
      <c r="H65" s="4">
        <f t="shared" si="12"/>
        <v>645.52648395849894</v>
      </c>
      <c r="I65" s="4">
        <f t="shared" si="0"/>
        <v>693.84400000000005</v>
      </c>
      <c r="J65" s="4">
        <f t="shared" si="1"/>
        <v>703.90899999999999</v>
      </c>
      <c r="K65" s="4">
        <f t="shared" si="2"/>
        <v>740.08549999999991</v>
      </c>
      <c r="L65" s="4">
        <f t="shared" si="3"/>
        <v>752.29849999999999</v>
      </c>
      <c r="M65" s="11" t="str">
        <f t="shared" si="4"/>
        <v>撤退隊形，股票跌慘</v>
      </c>
      <c r="N65" s="7" t="str">
        <f t="shared" si="5"/>
        <v/>
      </c>
      <c r="O65" s="21">
        <f t="shared" si="6"/>
        <v>45.376106194690259</v>
      </c>
      <c r="P65" s="4">
        <f t="shared" si="7"/>
        <v>50.303026898213211</v>
      </c>
      <c r="Q65" s="4">
        <f t="shared" si="8"/>
        <v>38.27669461512221</v>
      </c>
    </row>
    <row r="66" spans="1:17" x14ac:dyDescent="0.25">
      <c r="A66" s="1" t="s">
        <v>64</v>
      </c>
      <c r="B66" s="2">
        <v>725.02</v>
      </c>
      <c r="C66" s="2">
        <v>6.22</v>
      </c>
      <c r="D66" s="17">
        <v>8.6999999999999994E-3</v>
      </c>
      <c r="E66" s="4">
        <f t="shared" si="9"/>
        <v>745.56349999999986</v>
      </c>
      <c r="F66" s="4">
        <f t="shared" si="10"/>
        <v>47.149500446647572</v>
      </c>
      <c r="G66" s="4">
        <f t="shared" si="11"/>
        <v>839.86250089329496</v>
      </c>
      <c r="H66" s="4">
        <f t="shared" si="12"/>
        <v>651.26449910670476</v>
      </c>
      <c r="I66" s="4">
        <f t="shared" si="0"/>
        <v>689.12199999999996</v>
      </c>
      <c r="J66" s="4">
        <f t="shared" si="1"/>
        <v>710.452</v>
      </c>
      <c r="K66" s="4">
        <f t="shared" si="2"/>
        <v>745.56349999999986</v>
      </c>
      <c r="L66" s="4">
        <f t="shared" si="3"/>
        <v>752.8836666666665</v>
      </c>
      <c r="M66" s="11" t="str">
        <f t="shared" si="4"/>
        <v>撤退隊形，股票跌慘</v>
      </c>
      <c r="N66" s="7" t="str">
        <f t="shared" si="5"/>
        <v/>
      </c>
      <c r="O66" s="21">
        <f t="shared" si="6"/>
        <v>87.455752212389342</v>
      </c>
      <c r="P66" s="4">
        <f t="shared" si="7"/>
        <v>52.766487249974688</v>
      </c>
      <c r="Q66" s="4">
        <f t="shared" si="8"/>
        <v>32.263528473576713</v>
      </c>
    </row>
    <row r="67" spans="1:17" x14ac:dyDescent="0.25">
      <c r="A67" s="1" t="s">
        <v>65</v>
      </c>
      <c r="B67" s="2">
        <v>718.8</v>
      </c>
      <c r="C67" s="2">
        <v>26.34</v>
      </c>
      <c r="D67" s="17">
        <v>3.7999999999999999E-2</v>
      </c>
      <c r="E67" s="4">
        <f t="shared" si="9"/>
        <v>748.90750000000003</v>
      </c>
      <c r="F67" s="4">
        <f t="shared" si="10"/>
        <v>47.980161237415814</v>
      </c>
      <c r="G67" s="4">
        <f t="shared" si="11"/>
        <v>844.86782247483166</v>
      </c>
      <c r="H67" s="4">
        <f t="shared" si="12"/>
        <v>652.9471775251684</v>
      </c>
      <c r="I67" s="4">
        <f t="shared" si="0"/>
        <v>688.99599999999998</v>
      </c>
      <c r="J67" s="4">
        <f t="shared" si="1"/>
        <v>712.77800000000002</v>
      </c>
      <c r="K67" s="4">
        <f t="shared" si="2"/>
        <v>748.90750000000003</v>
      </c>
      <c r="L67" s="4">
        <f t="shared" si="3"/>
        <v>752.84883333333335</v>
      </c>
      <c r="M67" s="11" t="str">
        <f t="shared" si="4"/>
        <v>撤退隊形，股票跌慘</v>
      </c>
      <c r="N67" s="7" t="str">
        <f t="shared" si="5"/>
        <v/>
      </c>
      <c r="O67" s="21">
        <f t="shared" si="6"/>
        <v>68.426491310474375</v>
      </c>
      <c r="P67" s="4">
        <f t="shared" si="7"/>
        <v>35.421854768767361</v>
      </c>
      <c r="Q67" s="4">
        <f t="shared" si="8"/>
        <v>22.012049085377722</v>
      </c>
    </row>
    <row r="68" spans="1:17" x14ac:dyDescent="0.25">
      <c r="A68" s="1" t="s">
        <v>66</v>
      </c>
      <c r="B68" s="2">
        <v>692.46</v>
      </c>
      <c r="C68" s="2">
        <v>46.5</v>
      </c>
      <c r="D68" s="17">
        <v>7.1999999999999995E-2</v>
      </c>
      <c r="E68" s="4">
        <f t="shared" si="9"/>
        <v>752.75250000000005</v>
      </c>
      <c r="F68" s="4">
        <f t="shared" si="10"/>
        <v>48.518698281123903</v>
      </c>
      <c r="G68" s="4">
        <f t="shared" si="11"/>
        <v>849.7898965622478</v>
      </c>
      <c r="H68" s="4">
        <f t="shared" si="12"/>
        <v>655.7151034377523</v>
      </c>
      <c r="I68" s="4">
        <f t="shared" si="0"/>
        <v>692.50800000000004</v>
      </c>
      <c r="J68" s="4">
        <f t="shared" si="1"/>
        <v>715.17399999999998</v>
      </c>
      <c r="K68" s="4">
        <f t="shared" si="2"/>
        <v>752.75250000000005</v>
      </c>
      <c r="L68" s="4">
        <f t="shared" si="3"/>
        <v>752.86483333333331</v>
      </c>
      <c r="M68" s="11" t="str">
        <f t="shared" si="4"/>
        <v>撤退隊形，股票跌慘</v>
      </c>
      <c r="N68" s="7" t="str">
        <f t="shared" si="5"/>
        <v/>
      </c>
      <c r="O68" s="21">
        <f t="shared" si="6"/>
        <v>43.682480037576354</v>
      </c>
      <c r="P68" s="4">
        <f t="shared" si="7"/>
        <v>18.91953649791386</v>
      </c>
      <c r="Q68" s="4">
        <f t="shared" si="8"/>
        <v>15.307146243682904</v>
      </c>
    </row>
    <row r="69" spans="1:17" x14ac:dyDescent="0.25">
      <c r="A69" s="1" t="s">
        <v>67</v>
      </c>
      <c r="B69" s="2">
        <v>645.96</v>
      </c>
      <c r="C69" s="2">
        <v>-17.41</v>
      </c>
      <c r="D69" s="17">
        <v>-2.6200000000000001E-2</v>
      </c>
      <c r="E69" s="4">
        <f t="shared" si="9"/>
        <v>758.65949999999998</v>
      </c>
      <c r="F69" s="4">
        <f t="shared" si="10"/>
        <v>47.9805400767085</v>
      </c>
      <c r="G69" s="4">
        <f t="shared" si="11"/>
        <v>854.620580153417</v>
      </c>
      <c r="H69" s="4">
        <f t="shared" si="12"/>
        <v>662.69841984658296</v>
      </c>
      <c r="I69" s="4">
        <f t="shared" ref="I69:I132" si="13">AVERAGE(B69:B73)</f>
        <v>696.13</v>
      </c>
      <c r="J69" s="4">
        <f t="shared" ref="J69:J132" si="14">AVERAGE(B69:B78)</f>
        <v>724.35799999999995</v>
      </c>
      <c r="K69" s="4">
        <f t="shared" ref="K69:K132" si="15">AVERAGE(B69:B88)</f>
        <v>758.65949999999998</v>
      </c>
      <c r="L69" s="4">
        <f t="shared" ref="L69:L132" si="16">AVERAGE(B69:B128)</f>
        <v>752.82966666666653</v>
      </c>
      <c r="M69" s="11" t="str">
        <f t="shared" ref="M69:M132" si="17">IF(AND(I69&gt;J69, J69&gt;K69), "進攻隊形，股票大漲", IF(AND(I69&lt;J69, J69&lt;K69), "撤退隊形，股票跌慘", "打結隊形，忽上忽下看不懂"))</f>
        <v>撤退隊形，股票跌慘</v>
      </c>
      <c r="N69" s="7" t="str">
        <f t="shared" ref="N69:N132" si="18">IF(AND(I69&gt;J69,I70&lt;=J70),"★黃金交叉(買訊)",IF(AND(I69&lt;J69,I70&gt;=J70),"▲死亡交叉(賣訊)",""))</f>
        <v/>
      </c>
      <c r="O69" s="21">
        <f t="shared" ref="O69:O132" si="19">(B69 - MIN(B69:B77)) / (MAX(B69:B77) - MIN(B69:B77)) * 100</f>
        <v>0</v>
      </c>
      <c r="P69" s="4">
        <f t="shared" ref="P69:P132" si="20">(1/3)*O69+(2/3)*P70</f>
        <v>6.5380647280826114</v>
      </c>
      <c r="Q69" s="4">
        <f t="shared" ref="Q69:Q132" si="21">(1/3)*P69+(2/3)*Q70</f>
        <v>13.500951116567428</v>
      </c>
    </row>
    <row r="70" spans="1:17" x14ac:dyDescent="0.25">
      <c r="A70" s="1" t="s">
        <v>68</v>
      </c>
      <c r="B70" s="2">
        <v>663.37</v>
      </c>
      <c r="C70" s="2">
        <v>-61.02</v>
      </c>
      <c r="D70" s="17">
        <v>-8.4199999999999997E-2</v>
      </c>
      <c r="E70" s="4">
        <f t="shared" ref="E70:E133" si="22">AVERAGE(B70:B89)</f>
        <v>766.18499999999995</v>
      </c>
      <c r="F70" s="4">
        <f t="shared" ref="F70:F133" si="23">_xlfn.STDEV.S(B70:B89)</f>
        <v>40.611319332111542</v>
      </c>
      <c r="G70" s="4">
        <f t="shared" ref="G70:G133" si="24">E70+2*F70</f>
        <v>847.40763866422299</v>
      </c>
      <c r="H70" s="4">
        <f t="shared" ref="H70:H133" si="25">E70-2*F70</f>
        <v>684.9623613357769</v>
      </c>
      <c r="I70" s="4">
        <f t="shared" si="13"/>
        <v>713.97399999999993</v>
      </c>
      <c r="J70" s="4">
        <f t="shared" si="14"/>
        <v>741.75299999999993</v>
      </c>
      <c r="K70" s="4">
        <f t="shared" si="15"/>
        <v>766.18499999999995</v>
      </c>
      <c r="L70" s="4">
        <f t="shared" si="16"/>
        <v>753.63799999999981</v>
      </c>
      <c r="M70" s="11" t="str">
        <f t="shared" si="17"/>
        <v>撤退隊形，股票跌慘</v>
      </c>
      <c r="N70" s="7" t="str">
        <f t="shared" si="18"/>
        <v/>
      </c>
      <c r="O70" s="21">
        <f t="shared" si="19"/>
        <v>0</v>
      </c>
      <c r="P70" s="4">
        <f t="shared" si="20"/>
        <v>9.807097092123918</v>
      </c>
      <c r="Q70" s="4">
        <f t="shared" si="21"/>
        <v>16.982394310809838</v>
      </c>
    </row>
    <row r="71" spans="1:17" x14ac:dyDescent="0.25">
      <c r="A71" s="1" t="s">
        <v>69</v>
      </c>
      <c r="B71" s="2">
        <v>724.39</v>
      </c>
      <c r="C71" s="2">
        <v>-11.97</v>
      </c>
      <c r="D71" s="17">
        <v>-1.6299999999999999E-2</v>
      </c>
      <c r="E71" s="4">
        <f t="shared" si="22"/>
        <v>772.12200000000007</v>
      </c>
      <c r="F71" s="4">
        <f t="shared" si="23"/>
        <v>32.698002449851984</v>
      </c>
      <c r="G71" s="4">
        <f t="shared" si="24"/>
        <v>837.51800489970401</v>
      </c>
      <c r="H71" s="4">
        <f t="shared" si="25"/>
        <v>706.72599510029613</v>
      </c>
      <c r="I71" s="4">
        <f t="shared" si="13"/>
        <v>731.78199999999993</v>
      </c>
      <c r="J71" s="4">
        <f t="shared" si="14"/>
        <v>756.38099999999997</v>
      </c>
      <c r="K71" s="4">
        <f t="shared" si="15"/>
        <v>772.12200000000007</v>
      </c>
      <c r="L71" s="4">
        <f t="shared" si="16"/>
        <v>753.98183333333316</v>
      </c>
      <c r="M71" s="11" t="str">
        <f t="shared" si="17"/>
        <v>撤退隊形，股票跌慘</v>
      </c>
      <c r="N71" s="7" t="str">
        <f t="shared" si="18"/>
        <v/>
      </c>
      <c r="O71" s="21">
        <f t="shared" si="19"/>
        <v>12.639473202853434</v>
      </c>
      <c r="P71" s="4">
        <f t="shared" si="20"/>
        <v>14.710645638185879</v>
      </c>
      <c r="Q71" s="4">
        <f t="shared" si="21"/>
        <v>20.570042920152801</v>
      </c>
    </row>
    <row r="72" spans="1:17" x14ac:dyDescent="0.25">
      <c r="A72" s="1" t="s">
        <v>70</v>
      </c>
      <c r="B72" s="2">
        <v>736.36</v>
      </c>
      <c r="C72" s="2">
        <v>25.79</v>
      </c>
      <c r="D72" s="17">
        <v>3.6299999999999999E-2</v>
      </c>
      <c r="E72" s="4">
        <f t="shared" si="22"/>
        <v>774.83400000000006</v>
      </c>
      <c r="F72" s="4">
        <f t="shared" si="23"/>
        <v>30.720248148668805</v>
      </c>
      <c r="G72" s="4">
        <f t="shared" si="24"/>
        <v>836.27449629733769</v>
      </c>
      <c r="H72" s="4">
        <f t="shared" si="25"/>
        <v>713.39350370266243</v>
      </c>
      <c r="I72" s="4">
        <f t="shared" si="13"/>
        <v>736.56000000000006</v>
      </c>
      <c r="J72" s="4">
        <f t="shared" si="14"/>
        <v>764.80600000000004</v>
      </c>
      <c r="K72" s="4">
        <f t="shared" si="15"/>
        <v>774.83400000000006</v>
      </c>
      <c r="L72" s="4">
        <f t="shared" si="16"/>
        <v>753.0385</v>
      </c>
      <c r="M72" s="11" t="str">
        <f t="shared" si="17"/>
        <v>撤退隊形，股票跌慘</v>
      </c>
      <c r="N72" s="7" t="str">
        <f t="shared" si="18"/>
        <v/>
      </c>
      <c r="O72" s="21">
        <f t="shared" si="19"/>
        <v>23.586976403877795</v>
      </c>
      <c r="P72" s="4">
        <f t="shared" si="20"/>
        <v>15.746231855852102</v>
      </c>
      <c r="Q72" s="4">
        <f t="shared" si="21"/>
        <v>23.499741561136261</v>
      </c>
    </row>
    <row r="73" spans="1:17" x14ac:dyDescent="0.25">
      <c r="A73" s="1" t="s">
        <v>71</v>
      </c>
      <c r="B73" s="2">
        <v>710.57</v>
      </c>
      <c r="C73" s="2">
        <v>-24.61</v>
      </c>
      <c r="D73" s="17">
        <v>-3.3500000000000002E-2</v>
      </c>
      <c r="E73" s="4">
        <f t="shared" si="22"/>
        <v>776.721</v>
      </c>
      <c r="F73" s="4">
        <f t="shared" si="23"/>
        <v>29.361641625552352</v>
      </c>
      <c r="G73" s="4">
        <f t="shared" si="24"/>
        <v>835.44428325110471</v>
      </c>
      <c r="H73" s="4">
        <f t="shared" si="25"/>
        <v>717.9977167488953</v>
      </c>
      <c r="I73" s="4">
        <f t="shared" si="13"/>
        <v>737.83999999999992</v>
      </c>
      <c r="J73" s="4">
        <f t="shared" si="14"/>
        <v>769.98299999999995</v>
      </c>
      <c r="K73" s="4">
        <f t="shared" si="15"/>
        <v>776.721</v>
      </c>
      <c r="L73" s="4">
        <f t="shared" si="16"/>
        <v>751.59416666666641</v>
      </c>
      <c r="M73" s="11" t="str">
        <f t="shared" si="17"/>
        <v>撤退隊形，股票跌慘</v>
      </c>
      <c r="N73" s="7" t="str">
        <f t="shared" si="18"/>
        <v/>
      </c>
      <c r="O73" s="21">
        <f t="shared" si="19"/>
        <v>0</v>
      </c>
      <c r="P73" s="4">
        <f t="shared" si="20"/>
        <v>11.825859581839257</v>
      </c>
      <c r="Q73" s="4">
        <f t="shared" si="21"/>
        <v>27.376496413778341</v>
      </c>
    </row>
    <row r="74" spans="1:17" x14ac:dyDescent="0.25">
      <c r="A74" s="1" t="s">
        <v>72</v>
      </c>
      <c r="B74" s="2">
        <v>735.18</v>
      </c>
      <c r="C74" s="2">
        <v>-17.23</v>
      </c>
      <c r="D74" s="17">
        <v>-2.29E-2</v>
      </c>
      <c r="E74" s="4">
        <f t="shared" si="22"/>
        <v>778.75549999999998</v>
      </c>
      <c r="F74" s="4">
        <f t="shared" si="23"/>
        <v>25.720704229329179</v>
      </c>
      <c r="G74" s="4">
        <f t="shared" si="24"/>
        <v>830.1969084586583</v>
      </c>
      <c r="H74" s="4">
        <f t="shared" si="25"/>
        <v>727.31409154134167</v>
      </c>
      <c r="I74" s="4">
        <f t="shared" si="13"/>
        <v>752.58600000000001</v>
      </c>
      <c r="J74" s="4">
        <f t="shared" si="14"/>
        <v>774.38800000000003</v>
      </c>
      <c r="K74" s="4">
        <f t="shared" si="15"/>
        <v>778.75549999999998</v>
      </c>
      <c r="L74" s="4">
        <f t="shared" si="16"/>
        <v>750.51266666666641</v>
      </c>
      <c r="M74" s="11" t="str">
        <f t="shared" si="17"/>
        <v>撤退隊形，股票跌慘</v>
      </c>
      <c r="N74" s="7" t="str">
        <f t="shared" si="18"/>
        <v/>
      </c>
      <c r="O74" s="21">
        <f t="shared" si="19"/>
        <v>0</v>
      </c>
      <c r="P74" s="4">
        <f t="shared" si="20"/>
        <v>17.738789372758887</v>
      </c>
      <c r="Q74" s="4">
        <f t="shared" si="21"/>
        <v>35.151814829747885</v>
      </c>
    </row>
    <row r="75" spans="1:17" x14ac:dyDescent="0.25">
      <c r="A75" s="1" t="s">
        <v>73</v>
      </c>
      <c r="B75" s="2">
        <v>752.41</v>
      </c>
      <c r="C75" s="2">
        <v>4.13</v>
      </c>
      <c r="D75" s="17">
        <v>5.4999999999999997E-3</v>
      </c>
      <c r="E75" s="4">
        <f t="shared" si="22"/>
        <v>778.82050000000004</v>
      </c>
      <c r="F75" s="4">
        <f t="shared" si="23"/>
        <v>25.606174311965013</v>
      </c>
      <c r="G75" s="4">
        <f t="shared" si="24"/>
        <v>830.03284862393002</v>
      </c>
      <c r="H75" s="4">
        <f t="shared" si="25"/>
        <v>727.60815137607005</v>
      </c>
      <c r="I75" s="4">
        <f t="shared" si="13"/>
        <v>769.53199999999993</v>
      </c>
      <c r="J75" s="4">
        <f t="shared" si="14"/>
        <v>776.26199999999994</v>
      </c>
      <c r="K75" s="4">
        <f t="shared" si="15"/>
        <v>778.82050000000004</v>
      </c>
      <c r="L75" s="4">
        <f t="shared" si="16"/>
        <v>748.67983333333325</v>
      </c>
      <c r="M75" s="11" t="str">
        <f t="shared" si="17"/>
        <v>撤退隊形，股票跌慘</v>
      </c>
      <c r="N75" s="7" t="str">
        <f t="shared" si="18"/>
        <v>▲死亡交叉(賣訊)</v>
      </c>
      <c r="O75" s="21">
        <f t="shared" si="19"/>
        <v>12.508101101749814</v>
      </c>
      <c r="P75" s="4">
        <f t="shared" si="20"/>
        <v>26.608184059138331</v>
      </c>
      <c r="Q75" s="4">
        <f t="shared" si="21"/>
        <v>43.858327558242387</v>
      </c>
    </row>
    <row r="76" spans="1:17" x14ac:dyDescent="0.25">
      <c r="A76" s="1" t="s">
        <v>74</v>
      </c>
      <c r="B76" s="2">
        <v>748.28</v>
      </c>
      <c r="C76" s="2">
        <v>5.52</v>
      </c>
      <c r="D76" s="17">
        <v>7.4000000000000003E-3</v>
      </c>
      <c r="E76" s="4">
        <f t="shared" si="22"/>
        <v>778.27350000000001</v>
      </c>
      <c r="F76" s="4">
        <f t="shared" si="23"/>
        <v>26.307301623013533</v>
      </c>
      <c r="G76" s="4">
        <f t="shared" si="24"/>
        <v>830.88810324602707</v>
      </c>
      <c r="H76" s="4">
        <f t="shared" si="25"/>
        <v>725.65889675397295</v>
      </c>
      <c r="I76" s="4">
        <f t="shared" si="13"/>
        <v>780.98</v>
      </c>
      <c r="J76" s="4">
        <f t="shared" si="14"/>
        <v>780.67499999999995</v>
      </c>
      <c r="K76" s="4">
        <f t="shared" si="15"/>
        <v>778.27350000000001</v>
      </c>
      <c r="L76" s="4">
        <f t="shared" si="16"/>
        <v>746.28383333333329</v>
      </c>
      <c r="M76" s="11" t="str">
        <f t="shared" si="17"/>
        <v>進攻隊形，股票大漲</v>
      </c>
      <c r="N76" s="7" t="str">
        <f t="shared" si="18"/>
        <v/>
      </c>
      <c r="O76" s="21">
        <f t="shared" si="19"/>
        <v>7.1548930654568812</v>
      </c>
      <c r="P76" s="4">
        <f t="shared" si="20"/>
        <v>33.658225537832593</v>
      </c>
      <c r="Q76" s="4">
        <f t="shared" si="21"/>
        <v>52.483399307794421</v>
      </c>
    </row>
    <row r="77" spans="1:17" x14ac:dyDescent="0.25">
      <c r="A77" s="1" t="s">
        <v>75</v>
      </c>
      <c r="B77" s="2">
        <v>742.76</v>
      </c>
      <c r="C77" s="2">
        <v>-41.54</v>
      </c>
      <c r="D77" s="17">
        <v>-5.2999999999999999E-2</v>
      </c>
      <c r="E77" s="4">
        <f t="shared" si="22"/>
        <v>779.80549999999994</v>
      </c>
      <c r="F77" s="4">
        <f t="shared" si="23"/>
        <v>25.343197670339368</v>
      </c>
      <c r="G77" s="4">
        <f t="shared" si="24"/>
        <v>830.49189534067864</v>
      </c>
      <c r="H77" s="4">
        <f t="shared" si="25"/>
        <v>729.11910465932124</v>
      </c>
      <c r="I77" s="4">
        <f t="shared" si="13"/>
        <v>793.05199999999991</v>
      </c>
      <c r="J77" s="4">
        <f t="shared" si="14"/>
        <v>785.03699999999992</v>
      </c>
      <c r="K77" s="4">
        <f t="shared" si="15"/>
        <v>779.80549999999994</v>
      </c>
      <c r="L77" s="4">
        <f t="shared" si="16"/>
        <v>743.7108333333332</v>
      </c>
      <c r="M77" s="11" t="str">
        <f t="shared" si="17"/>
        <v>進攻隊形，股票大漲</v>
      </c>
      <c r="N77" s="7" t="str">
        <f t="shared" si="18"/>
        <v/>
      </c>
      <c r="O77" s="21">
        <f t="shared" si="19"/>
        <v>0</v>
      </c>
      <c r="P77" s="4">
        <f t="shared" si="20"/>
        <v>46.909891774020451</v>
      </c>
      <c r="Q77" s="4">
        <f t="shared" si="21"/>
        <v>61.895986192775339</v>
      </c>
    </row>
    <row r="78" spans="1:17" x14ac:dyDescent="0.25">
      <c r="A78" s="1" t="s">
        <v>76</v>
      </c>
      <c r="B78" s="2">
        <v>784.3</v>
      </c>
      <c r="C78" s="2">
        <v>-35.61</v>
      </c>
      <c r="D78" s="17">
        <v>-4.3400000000000001E-2</v>
      </c>
      <c r="E78" s="4">
        <f t="shared" si="22"/>
        <v>779.80749999999989</v>
      </c>
      <c r="F78" s="4">
        <f t="shared" si="23"/>
        <v>25.340121686867707</v>
      </c>
      <c r="G78" s="4">
        <f t="shared" si="24"/>
        <v>830.48774337373527</v>
      </c>
      <c r="H78" s="4">
        <f t="shared" si="25"/>
        <v>729.12725662626451</v>
      </c>
      <c r="I78" s="4">
        <f t="shared" si="13"/>
        <v>802.12599999999998</v>
      </c>
      <c r="J78" s="4">
        <f t="shared" si="14"/>
        <v>790.3309999999999</v>
      </c>
      <c r="K78" s="4">
        <f t="shared" si="15"/>
        <v>779.80749999999989</v>
      </c>
      <c r="L78" s="4">
        <f t="shared" si="16"/>
        <v>741.32399999999996</v>
      </c>
      <c r="M78" s="11" t="str">
        <f t="shared" si="17"/>
        <v>進攻隊形，股票大漲</v>
      </c>
      <c r="N78" s="7" t="str">
        <f t="shared" si="18"/>
        <v/>
      </c>
      <c r="O78" s="21">
        <f t="shared" si="19"/>
        <v>46.037278375511427</v>
      </c>
      <c r="P78" s="4">
        <f t="shared" si="20"/>
        <v>70.364837661030677</v>
      </c>
      <c r="Q78" s="4">
        <f t="shared" si="21"/>
        <v>69.389033402152791</v>
      </c>
    </row>
    <row r="79" spans="1:17" x14ac:dyDescent="0.25">
      <c r="A79" s="1" t="s">
        <v>77</v>
      </c>
      <c r="B79" s="2">
        <v>819.91</v>
      </c>
      <c r="C79" s="2">
        <v>10.26</v>
      </c>
      <c r="D79" s="17">
        <v>1.2699999999999999E-2</v>
      </c>
      <c r="E79" s="4">
        <f t="shared" si="22"/>
        <v>778.67199999999991</v>
      </c>
      <c r="F79" s="4">
        <f t="shared" si="23"/>
        <v>25.635318071589804</v>
      </c>
      <c r="G79" s="4">
        <f t="shared" si="24"/>
        <v>829.94263614317947</v>
      </c>
      <c r="H79" s="4">
        <f t="shared" si="25"/>
        <v>727.40136385682035</v>
      </c>
      <c r="I79" s="4">
        <f t="shared" si="13"/>
        <v>796.18999999999994</v>
      </c>
      <c r="J79" s="4">
        <f t="shared" si="14"/>
        <v>792.96100000000001</v>
      </c>
      <c r="K79" s="4">
        <f t="shared" si="15"/>
        <v>778.67199999999991</v>
      </c>
      <c r="L79" s="4">
        <f t="shared" si="16"/>
        <v>738.02016666666657</v>
      </c>
      <c r="M79" s="11" t="str">
        <f t="shared" si="17"/>
        <v>進攻隊形，股票大漲</v>
      </c>
      <c r="N79" s="7" t="str">
        <f t="shared" si="18"/>
        <v>★黃金交叉(買訊)</v>
      </c>
      <c r="O79" s="21">
        <f t="shared" si="19"/>
        <v>100</v>
      </c>
      <c r="P79" s="4">
        <f t="shared" si="20"/>
        <v>82.528617303790298</v>
      </c>
      <c r="Q79" s="4">
        <f t="shared" si="21"/>
        <v>68.90113127271384</v>
      </c>
    </row>
    <row r="80" spans="1:17" x14ac:dyDescent="0.25">
      <c r="A80" s="1" t="s">
        <v>78</v>
      </c>
      <c r="B80" s="2">
        <v>809.65</v>
      </c>
      <c r="C80" s="2">
        <v>1.01</v>
      </c>
      <c r="D80" s="17">
        <v>1.1999999999999999E-3</v>
      </c>
      <c r="E80" s="4">
        <f t="shared" si="22"/>
        <v>776.4129999999999</v>
      </c>
      <c r="F80" s="4">
        <f t="shared" si="23"/>
        <v>23.729979062691765</v>
      </c>
      <c r="G80" s="4">
        <f t="shared" si="24"/>
        <v>823.87295812538343</v>
      </c>
      <c r="H80" s="4">
        <f t="shared" si="25"/>
        <v>728.95304187461636</v>
      </c>
      <c r="I80" s="4">
        <f t="shared" si="13"/>
        <v>782.99199999999996</v>
      </c>
      <c r="J80" s="4">
        <f t="shared" si="14"/>
        <v>790.61699999999996</v>
      </c>
      <c r="K80" s="4">
        <f t="shared" si="15"/>
        <v>776.4129999999999</v>
      </c>
      <c r="L80" s="4">
        <f t="shared" si="16"/>
        <v>733.9131666666666</v>
      </c>
      <c r="M80" s="11" t="str">
        <f t="shared" si="17"/>
        <v>打結隊形，忽上忽下看不懂</v>
      </c>
      <c r="N80" s="7" t="str">
        <f t="shared" si="18"/>
        <v/>
      </c>
      <c r="O80" s="21">
        <f t="shared" si="19"/>
        <v>98.323923782639298</v>
      </c>
      <c r="P80" s="4">
        <f t="shared" si="20"/>
        <v>73.792925955685448</v>
      </c>
      <c r="Q80" s="4">
        <f t="shared" si="21"/>
        <v>62.087388257175618</v>
      </c>
    </row>
    <row r="81" spans="1:17" x14ac:dyDescent="0.25">
      <c r="A81" s="1" t="s">
        <v>79</v>
      </c>
      <c r="B81" s="2">
        <v>808.64</v>
      </c>
      <c r="C81" s="2">
        <v>20.51</v>
      </c>
      <c r="D81" s="17">
        <v>2.5999999999999999E-2</v>
      </c>
      <c r="E81" s="4">
        <f t="shared" si="22"/>
        <v>775.64799999999991</v>
      </c>
      <c r="F81" s="4">
        <f t="shared" si="23"/>
        <v>22.831717919549877</v>
      </c>
      <c r="G81" s="4">
        <f t="shared" si="24"/>
        <v>821.31143583909966</v>
      </c>
      <c r="H81" s="4">
        <f t="shared" si="25"/>
        <v>729.98456416090016</v>
      </c>
      <c r="I81" s="4">
        <f t="shared" si="13"/>
        <v>780.37</v>
      </c>
      <c r="J81" s="4">
        <f t="shared" si="14"/>
        <v>787.86300000000006</v>
      </c>
      <c r="K81" s="4">
        <f t="shared" si="15"/>
        <v>775.64799999999991</v>
      </c>
      <c r="L81" s="4">
        <f t="shared" si="16"/>
        <v>729.36233333333325</v>
      </c>
      <c r="M81" s="11" t="str">
        <f t="shared" si="17"/>
        <v>打結隊形，忽上忽下看不懂</v>
      </c>
      <c r="N81" s="7" t="str">
        <f t="shared" si="18"/>
        <v/>
      </c>
      <c r="O81" s="21">
        <f t="shared" si="19"/>
        <v>96.541990119971715</v>
      </c>
      <c r="P81" s="4">
        <f t="shared" si="20"/>
        <v>61.527427042208529</v>
      </c>
      <c r="Q81" s="4">
        <f t="shared" si="21"/>
        <v>56.234619407920718</v>
      </c>
    </row>
    <row r="82" spans="1:17" x14ac:dyDescent="0.25">
      <c r="A82" s="1" t="s">
        <v>80</v>
      </c>
      <c r="B82" s="2">
        <v>788.13</v>
      </c>
      <c r="C82" s="2">
        <v>33.51</v>
      </c>
      <c r="D82" s="17">
        <v>4.4400000000000002E-2</v>
      </c>
      <c r="E82" s="4">
        <f t="shared" si="22"/>
        <v>774.00450000000001</v>
      </c>
      <c r="F82" s="4">
        <f t="shared" si="23"/>
        <v>21.474563282122755</v>
      </c>
      <c r="G82" s="4">
        <f t="shared" si="24"/>
        <v>816.9536265642455</v>
      </c>
      <c r="H82" s="4">
        <f t="shared" si="25"/>
        <v>731.05537343575452</v>
      </c>
      <c r="I82" s="4">
        <f t="shared" si="13"/>
        <v>777.02200000000005</v>
      </c>
      <c r="J82" s="4">
        <f t="shared" si="14"/>
        <v>784.86200000000008</v>
      </c>
      <c r="K82" s="4">
        <f t="shared" si="15"/>
        <v>774.00450000000001</v>
      </c>
      <c r="L82" s="4">
        <f t="shared" si="16"/>
        <v>724.55349999999999</v>
      </c>
      <c r="M82" s="11" t="str">
        <f t="shared" si="17"/>
        <v>打結隊形，忽上忽下看不懂</v>
      </c>
      <c r="N82" s="7" t="str">
        <f t="shared" si="18"/>
        <v/>
      </c>
      <c r="O82" s="21">
        <f t="shared" si="19"/>
        <v>60.356386732533515</v>
      </c>
      <c r="P82" s="4">
        <f t="shared" si="20"/>
        <v>44.020145503326944</v>
      </c>
      <c r="Q82" s="4">
        <f t="shared" si="21"/>
        <v>53.588215590776812</v>
      </c>
    </row>
    <row r="83" spans="1:17" x14ac:dyDescent="0.25">
      <c r="A83" s="1" t="s">
        <v>81</v>
      </c>
      <c r="B83" s="2">
        <v>754.62</v>
      </c>
      <c r="C83" s="2">
        <v>0.7</v>
      </c>
      <c r="D83" s="17">
        <v>8.9999999999999998E-4</v>
      </c>
      <c r="E83" s="4">
        <f t="shared" si="22"/>
        <v>774.08399999999995</v>
      </c>
      <c r="F83" s="4">
        <f t="shared" si="23"/>
        <v>21.532473982092117</v>
      </c>
      <c r="G83" s="4">
        <f t="shared" si="24"/>
        <v>817.14894796418423</v>
      </c>
      <c r="H83" s="4">
        <f t="shared" si="25"/>
        <v>731.01905203581566</v>
      </c>
      <c r="I83" s="4">
        <f t="shared" si="13"/>
        <v>778.53600000000006</v>
      </c>
      <c r="J83" s="4">
        <f t="shared" si="14"/>
        <v>783.45900000000006</v>
      </c>
      <c r="K83" s="4">
        <f t="shared" si="15"/>
        <v>774.08399999999995</v>
      </c>
      <c r="L83" s="4">
        <f t="shared" si="16"/>
        <v>720.32883333333325</v>
      </c>
      <c r="M83" s="11" t="str">
        <f t="shared" si="17"/>
        <v>打結隊形，忽上忽下看不懂</v>
      </c>
      <c r="N83" s="7" t="str">
        <f t="shared" si="18"/>
        <v>▲死亡交叉(賣訊)</v>
      </c>
      <c r="O83" s="21">
        <f t="shared" si="19"/>
        <v>1.235003528581589</v>
      </c>
      <c r="P83" s="4">
        <f t="shared" si="20"/>
        <v>35.852024888723655</v>
      </c>
      <c r="Q83" s="4">
        <f t="shared" si="21"/>
        <v>58.372250634501754</v>
      </c>
    </row>
    <row r="84" spans="1:17" x14ac:dyDescent="0.25">
      <c r="A84" s="1" t="s">
        <v>82</v>
      </c>
      <c r="B84" s="2">
        <v>753.92</v>
      </c>
      <c r="C84" s="2">
        <v>-42.62</v>
      </c>
      <c r="D84" s="17">
        <v>-5.3499999999999999E-2</v>
      </c>
      <c r="E84" s="4">
        <f t="shared" si="22"/>
        <v>775.29499999999996</v>
      </c>
      <c r="F84" s="4">
        <f t="shared" si="23"/>
        <v>21.055994395895919</v>
      </c>
      <c r="G84" s="4">
        <f t="shared" si="24"/>
        <v>817.40698879179183</v>
      </c>
      <c r="H84" s="4">
        <f t="shared" si="25"/>
        <v>733.18301120820809</v>
      </c>
      <c r="I84" s="4">
        <f t="shared" si="13"/>
        <v>789.73200000000008</v>
      </c>
      <c r="J84" s="4">
        <f t="shared" si="14"/>
        <v>783.12300000000005</v>
      </c>
      <c r="K84" s="4">
        <f t="shared" si="15"/>
        <v>775.29499999999996</v>
      </c>
      <c r="L84" s="4">
        <f t="shared" si="16"/>
        <v>716.05033333333336</v>
      </c>
      <c r="M84" s="11" t="str">
        <f t="shared" si="17"/>
        <v>進攻隊形，股票大漲</v>
      </c>
      <c r="N84" s="7" t="str">
        <f t="shared" si="18"/>
        <v/>
      </c>
      <c r="O84" s="21">
        <f t="shared" si="19"/>
        <v>0</v>
      </c>
      <c r="P84" s="4">
        <f t="shared" si="20"/>
        <v>53.160535568794685</v>
      </c>
      <c r="Q84" s="4">
        <f t="shared" si="21"/>
        <v>69.632363507390806</v>
      </c>
    </row>
    <row r="85" spans="1:17" x14ac:dyDescent="0.25">
      <c r="A85" s="1" t="s">
        <v>83</v>
      </c>
      <c r="B85" s="2">
        <v>796.54</v>
      </c>
      <c r="C85" s="2">
        <v>4.6399999999999997</v>
      </c>
      <c r="D85" s="17">
        <v>5.8999999999999999E-3</v>
      </c>
      <c r="E85" s="4">
        <f t="shared" si="22"/>
        <v>775.89299999999992</v>
      </c>
      <c r="F85" s="4">
        <f t="shared" si="23"/>
        <v>20.581471764672226</v>
      </c>
      <c r="G85" s="4">
        <f t="shared" si="24"/>
        <v>817.0559435293444</v>
      </c>
      <c r="H85" s="4">
        <f t="shared" si="25"/>
        <v>734.73005647065543</v>
      </c>
      <c r="I85" s="4">
        <f t="shared" si="13"/>
        <v>798.24199999999996</v>
      </c>
      <c r="J85" s="4">
        <f t="shared" si="14"/>
        <v>781.37900000000013</v>
      </c>
      <c r="K85" s="4">
        <f t="shared" si="15"/>
        <v>775.89299999999992</v>
      </c>
      <c r="L85" s="4">
        <f t="shared" si="16"/>
        <v>712.29133333333334</v>
      </c>
      <c r="M85" s="11" t="str">
        <f t="shared" si="17"/>
        <v>進攻隊形，股票大漲</v>
      </c>
      <c r="N85" s="7" t="str">
        <f t="shared" si="18"/>
        <v/>
      </c>
      <c r="O85" s="21">
        <f t="shared" si="19"/>
        <v>76.306033029996541</v>
      </c>
      <c r="P85" s="4">
        <f t="shared" si="20"/>
        <v>79.740803353192035</v>
      </c>
      <c r="Q85" s="4">
        <f t="shared" si="21"/>
        <v>77.86827747668886</v>
      </c>
    </row>
    <row r="86" spans="1:17" x14ac:dyDescent="0.25">
      <c r="A86" s="1" t="s">
        <v>84</v>
      </c>
      <c r="B86" s="2">
        <v>791.9</v>
      </c>
      <c r="C86" s="2">
        <v>-3.8</v>
      </c>
      <c r="D86" s="17">
        <v>-4.7999999999999996E-3</v>
      </c>
      <c r="E86" s="4">
        <f t="shared" si="22"/>
        <v>775.94899999999984</v>
      </c>
      <c r="F86" s="4">
        <f t="shared" si="23"/>
        <v>20.642041387216992</v>
      </c>
      <c r="G86" s="4">
        <f t="shared" si="24"/>
        <v>817.2330827744338</v>
      </c>
      <c r="H86" s="4">
        <f t="shared" si="25"/>
        <v>734.66491722556589</v>
      </c>
      <c r="I86" s="4">
        <f t="shared" si="13"/>
        <v>795.35599999999999</v>
      </c>
      <c r="J86" s="4">
        <f t="shared" si="14"/>
        <v>775.87200000000007</v>
      </c>
      <c r="K86" s="4">
        <f t="shared" si="15"/>
        <v>775.94899999999984</v>
      </c>
      <c r="L86" s="4">
        <f t="shared" si="16"/>
        <v>707.9521666666667</v>
      </c>
      <c r="M86" s="11" t="str">
        <f t="shared" si="17"/>
        <v>打結隊形，忽上忽下看不懂</v>
      </c>
      <c r="N86" s="7" t="str">
        <f t="shared" si="18"/>
        <v/>
      </c>
      <c r="O86" s="21">
        <f t="shared" si="19"/>
        <v>74.770642201834804</v>
      </c>
      <c r="P86" s="4">
        <f t="shared" si="20"/>
        <v>81.458188514789796</v>
      </c>
      <c r="Q86" s="4">
        <f t="shared" si="21"/>
        <v>76.932014538437272</v>
      </c>
    </row>
    <row r="87" spans="1:17" x14ac:dyDescent="0.25">
      <c r="A87" s="1" t="s">
        <v>85</v>
      </c>
      <c r="B87" s="2">
        <v>795.7</v>
      </c>
      <c r="C87" s="2">
        <v>-14.9</v>
      </c>
      <c r="D87" s="17">
        <v>-1.84E-2</v>
      </c>
      <c r="E87" s="4">
        <f t="shared" si="22"/>
        <v>775.83950000000004</v>
      </c>
      <c r="F87" s="4">
        <f t="shared" si="23"/>
        <v>20.558612608063353</v>
      </c>
      <c r="G87" s="4">
        <f t="shared" si="24"/>
        <v>816.95672521612676</v>
      </c>
      <c r="H87" s="4">
        <f t="shared" si="25"/>
        <v>734.72227478387333</v>
      </c>
      <c r="I87" s="4">
        <f t="shared" si="13"/>
        <v>792.70200000000011</v>
      </c>
      <c r="J87" s="4">
        <f t="shared" si="14"/>
        <v>774.57400000000007</v>
      </c>
      <c r="K87" s="4">
        <f t="shared" si="15"/>
        <v>775.83950000000004</v>
      </c>
      <c r="L87" s="4">
        <f t="shared" si="16"/>
        <v>703.72366666666676</v>
      </c>
      <c r="M87" s="11" t="str">
        <f t="shared" si="17"/>
        <v>打結隊形，忽上忽下看不懂</v>
      </c>
      <c r="N87" s="7" t="str">
        <f t="shared" si="18"/>
        <v/>
      </c>
      <c r="O87" s="21">
        <f t="shared" si="19"/>
        <v>79.897463572585025</v>
      </c>
      <c r="P87" s="4">
        <f t="shared" si="20"/>
        <v>84.801961671267293</v>
      </c>
      <c r="Q87" s="4">
        <f t="shared" si="21"/>
        <v>74.668927550261031</v>
      </c>
    </row>
    <row r="88" spans="1:17" x14ac:dyDescent="0.25">
      <c r="A88" s="1" t="s">
        <v>86</v>
      </c>
      <c r="B88" s="2">
        <v>810.6</v>
      </c>
      <c r="C88" s="2">
        <v>14.13</v>
      </c>
      <c r="D88" s="17">
        <v>1.77E-2</v>
      </c>
      <c r="E88" s="4">
        <f t="shared" si="22"/>
        <v>775.26350000000002</v>
      </c>
      <c r="F88" s="4">
        <f t="shared" si="23"/>
        <v>20.129793910885851</v>
      </c>
      <c r="G88" s="4">
        <f t="shared" si="24"/>
        <v>815.5230878217717</v>
      </c>
      <c r="H88" s="4">
        <f t="shared" si="25"/>
        <v>735.00391217822835</v>
      </c>
      <c r="I88" s="4">
        <f t="shared" si="13"/>
        <v>788.38200000000006</v>
      </c>
      <c r="J88" s="4">
        <f t="shared" si="14"/>
        <v>769.28399999999999</v>
      </c>
      <c r="K88" s="4">
        <f t="shared" si="15"/>
        <v>775.26350000000002</v>
      </c>
      <c r="L88" s="4">
        <f t="shared" si="16"/>
        <v>699.37566666666669</v>
      </c>
      <c r="M88" s="11" t="str">
        <f t="shared" si="17"/>
        <v>打結隊形，忽上忽下看不懂</v>
      </c>
      <c r="N88" s="7" t="str">
        <f t="shared" si="18"/>
        <v/>
      </c>
      <c r="O88" s="21">
        <f t="shared" si="19"/>
        <v>100</v>
      </c>
      <c r="P88" s="4">
        <f t="shared" si="20"/>
        <v>87.254210720608427</v>
      </c>
      <c r="Q88" s="4">
        <f t="shared" si="21"/>
        <v>69.602410489757915</v>
      </c>
    </row>
    <row r="89" spans="1:17" x14ac:dyDescent="0.25">
      <c r="A89" s="1" t="s">
        <v>87</v>
      </c>
      <c r="B89" s="2">
        <v>796.47</v>
      </c>
      <c r="C89" s="2">
        <v>14.36</v>
      </c>
      <c r="D89" s="17">
        <v>1.84E-2</v>
      </c>
      <c r="E89" s="4">
        <f t="shared" si="22"/>
        <v>772.26149999999984</v>
      </c>
      <c r="F89" s="4">
        <f t="shared" si="23"/>
        <v>19.029503485239363</v>
      </c>
      <c r="G89" s="4">
        <f t="shared" si="24"/>
        <v>810.32050697047862</v>
      </c>
      <c r="H89" s="4">
        <f t="shared" si="25"/>
        <v>734.20249302952107</v>
      </c>
      <c r="I89" s="4">
        <f t="shared" si="13"/>
        <v>776.5139999999999</v>
      </c>
      <c r="J89" s="4">
        <f t="shared" si="14"/>
        <v>764.38300000000004</v>
      </c>
      <c r="K89" s="4">
        <f t="shared" si="15"/>
        <v>772.26149999999984</v>
      </c>
      <c r="L89" s="4">
        <f t="shared" si="16"/>
        <v>694.36366666666663</v>
      </c>
      <c r="M89" s="11" t="str">
        <f t="shared" si="17"/>
        <v>打結隊形，忽上忽下看不懂</v>
      </c>
      <c r="N89" s="7" t="str">
        <f t="shared" si="18"/>
        <v/>
      </c>
      <c r="O89" s="21">
        <f t="shared" si="19"/>
        <v>100</v>
      </c>
      <c r="P89" s="4">
        <f t="shared" si="20"/>
        <v>80.881316080912654</v>
      </c>
      <c r="Q89" s="4">
        <f t="shared" si="21"/>
        <v>60.77651037433268</v>
      </c>
    </row>
    <row r="90" spans="1:17" x14ac:dyDescent="0.25">
      <c r="A90" s="1" t="s">
        <v>88</v>
      </c>
      <c r="B90" s="2">
        <v>782.11</v>
      </c>
      <c r="C90" s="2">
        <v>3.48</v>
      </c>
      <c r="D90" s="17">
        <v>4.4999999999999997E-3</v>
      </c>
      <c r="E90" s="4">
        <f t="shared" si="22"/>
        <v>768.5</v>
      </c>
      <c r="F90" s="4">
        <f t="shared" si="23"/>
        <v>21.293046060306068</v>
      </c>
      <c r="G90" s="4">
        <f t="shared" si="24"/>
        <v>811.08609212061219</v>
      </c>
      <c r="H90" s="4">
        <f t="shared" si="25"/>
        <v>725.91390787938781</v>
      </c>
      <c r="I90" s="4">
        <f t="shared" si="13"/>
        <v>764.51600000000008</v>
      </c>
      <c r="J90" s="4">
        <f t="shared" si="14"/>
        <v>762.20900000000006</v>
      </c>
      <c r="K90" s="4">
        <f t="shared" si="15"/>
        <v>768.5</v>
      </c>
      <c r="L90" s="4">
        <f t="shared" si="16"/>
        <v>689.78516666666678</v>
      </c>
      <c r="M90" s="11" t="str">
        <f t="shared" si="17"/>
        <v>打結隊形，忽上忽下看不懂</v>
      </c>
      <c r="N90" s="7" t="str">
        <f t="shared" si="18"/>
        <v>★黃金交叉(買訊)</v>
      </c>
      <c r="O90" s="21">
        <f t="shared" si="19"/>
        <v>100</v>
      </c>
      <c r="P90" s="4">
        <f t="shared" si="20"/>
        <v>71.321974121368982</v>
      </c>
      <c r="Q90" s="4">
        <f t="shared" si="21"/>
        <v>50.724107521042697</v>
      </c>
    </row>
    <row r="91" spans="1:17" x14ac:dyDescent="0.25">
      <c r="A91" s="1" t="s">
        <v>89</v>
      </c>
      <c r="B91" s="2">
        <v>778.63</v>
      </c>
      <c r="C91" s="2">
        <v>4.53</v>
      </c>
      <c r="D91" s="17">
        <v>5.8999999999999999E-3</v>
      </c>
      <c r="E91" s="4">
        <f t="shared" si="22"/>
        <v>763.46049999999991</v>
      </c>
      <c r="F91" s="4">
        <f t="shared" si="23"/>
        <v>28.581988711148323</v>
      </c>
      <c r="G91" s="4">
        <f t="shared" si="24"/>
        <v>820.62447742229654</v>
      </c>
      <c r="H91" s="4">
        <f t="shared" si="25"/>
        <v>706.29652257770329</v>
      </c>
      <c r="I91" s="4">
        <f t="shared" si="13"/>
        <v>756.38799999999992</v>
      </c>
      <c r="J91" s="4">
        <f t="shared" si="14"/>
        <v>763.43299999999999</v>
      </c>
      <c r="K91" s="4">
        <f t="shared" si="15"/>
        <v>763.46049999999991</v>
      </c>
      <c r="L91" s="4">
        <f t="shared" si="16"/>
        <v>685.72116666666659</v>
      </c>
      <c r="M91" s="11" t="str">
        <f t="shared" si="17"/>
        <v>撤退隊形，股票跌慘</v>
      </c>
      <c r="N91" s="7" t="str">
        <f t="shared" si="18"/>
        <v/>
      </c>
      <c r="O91" s="21">
        <f t="shared" si="19"/>
        <v>99.316682375117892</v>
      </c>
      <c r="P91" s="4">
        <f t="shared" si="20"/>
        <v>56.982961182053472</v>
      </c>
      <c r="Q91" s="4">
        <f t="shared" si="21"/>
        <v>40.425174220879555</v>
      </c>
    </row>
    <row r="92" spans="1:17" x14ac:dyDescent="0.25">
      <c r="A92" s="1" t="s">
        <v>90</v>
      </c>
      <c r="B92" s="2">
        <v>774.1</v>
      </c>
      <c r="C92" s="2">
        <v>22.84</v>
      </c>
      <c r="D92" s="17">
        <v>3.04E-2</v>
      </c>
      <c r="E92" s="4">
        <f t="shared" si="22"/>
        <v>758.95949999999993</v>
      </c>
      <c r="F92" s="4">
        <f t="shared" si="23"/>
        <v>32.838500426529187</v>
      </c>
      <c r="G92" s="4">
        <f t="shared" si="24"/>
        <v>824.63650085305835</v>
      </c>
      <c r="H92" s="4">
        <f t="shared" si="25"/>
        <v>693.28249914694152</v>
      </c>
      <c r="I92" s="4">
        <f t="shared" si="13"/>
        <v>756.44600000000014</v>
      </c>
      <c r="J92" s="4">
        <f t="shared" si="14"/>
        <v>763.14700000000016</v>
      </c>
      <c r="K92" s="4">
        <f t="shared" si="15"/>
        <v>758.95949999999993</v>
      </c>
      <c r="L92" s="4">
        <f t="shared" si="16"/>
        <v>681.68316666666658</v>
      </c>
      <c r="M92" s="11" t="str">
        <f t="shared" si="17"/>
        <v>打結隊形，忽上忽下看不懂</v>
      </c>
      <c r="N92" s="7" t="str">
        <f t="shared" si="18"/>
        <v/>
      </c>
      <c r="O92" s="21">
        <f t="shared" si="19"/>
        <v>65.007776049766719</v>
      </c>
      <c r="P92" s="4">
        <f t="shared" si="20"/>
        <v>35.816100585521269</v>
      </c>
      <c r="Q92" s="4">
        <f t="shared" si="21"/>
        <v>32.146280740292596</v>
      </c>
    </row>
    <row r="93" spans="1:17" x14ac:dyDescent="0.25">
      <c r="A93" s="1" t="s">
        <v>91</v>
      </c>
      <c r="B93" s="2">
        <v>751.26</v>
      </c>
      <c r="C93" s="2">
        <v>14.78</v>
      </c>
      <c r="D93" s="17">
        <v>2.01E-2</v>
      </c>
      <c r="E93" s="4">
        <f t="shared" si="22"/>
        <v>755.55700000000002</v>
      </c>
      <c r="F93" s="4">
        <f t="shared" si="23"/>
        <v>34.661988447835689</v>
      </c>
      <c r="G93" s="4">
        <f t="shared" si="24"/>
        <v>824.88097689567144</v>
      </c>
      <c r="H93" s="4">
        <f t="shared" si="25"/>
        <v>686.23302310432859</v>
      </c>
      <c r="I93" s="4">
        <f t="shared" si="13"/>
        <v>750.18600000000004</v>
      </c>
      <c r="J93" s="4">
        <f t="shared" si="14"/>
        <v>764.70900000000006</v>
      </c>
      <c r="K93" s="4">
        <f t="shared" si="15"/>
        <v>755.55700000000002</v>
      </c>
      <c r="L93" s="4">
        <f t="shared" si="16"/>
        <v>677.60749999999996</v>
      </c>
      <c r="M93" s="11" t="str">
        <f t="shared" si="17"/>
        <v>打結隊形，忽上忽下看不懂</v>
      </c>
      <c r="N93" s="7" t="str">
        <f t="shared" si="18"/>
        <v/>
      </c>
      <c r="O93" s="21">
        <f t="shared" si="19"/>
        <v>25.54000345602207</v>
      </c>
      <c r="P93" s="4">
        <f t="shared" si="20"/>
        <v>21.220262853398545</v>
      </c>
      <c r="Q93" s="4">
        <f t="shared" si="21"/>
        <v>30.311370817678259</v>
      </c>
    </row>
    <row r="94" spans="1:17" x14ac:dyDescent="0.25">
      <c r="A94" s="1" t="s">
        <v>92</v>
      </c>
      <c r="B94" s="2">
        <v>736.48</v>
      </c>
      <c r="C94" s="2">
        <v>-4.99</v>
      </c>
      <c r="D94" s="17">
        <v>-6.7000000000000002E-3</v>
      </c>
      <c r="E94" s="4">
        <f t="shared" si="22"/>
        <v>753.49700000000007</v>
      </c>
      <c r="F94" s="4">
        <f t="shared" si="23"/>
        <v>36.124241911550342</v>
      </c>
      <c r="G94" s="4">
        <f t="shared" si="24"/>
        <v>825.74548382310081</v>
      </c>
      <c r="H94" s="4">
        <f t="shared" si="25"/>
        <v>681.24851617689933</v>
      </c>
      <c r="I94" s="4">
        <f t="shared" si="13"/>
        <v>752.25200000000007</v>
      </c>
      <c r="J94" s="4">
        <f t="shared" si="14"/>
        <v>767.4670000000001</v>
      </c>
      <c r="K94" s="4">
        <f t="shared" si="15"/>
        <v>753.49700000000007</v>
      </c>
      <c r="L94" s="4">
        <f t="shared" si="16"/>
        <v>673.70833333333326</v>
      </c>
      <c r="M94" s="11" t="str">
        <f t="shared" si="17"/>
        <v>打結隊形，忽上忽下看不懂</v>
      </c>
      <c r="N94" s="7" t="str">
        <f t="shared" si="18"/>
        <v/>
      </c>
      <c r="O94" s="21">
        <f t="shared" si="19"/>
        <v>0</v>
      </c>
      <c r="P94" s="4">
        <f t="shared" si="20"/>
        <v>19.060392552086785</v>
      </c>
      <c r="Q94" s="4">
        <f t="shared" si="21"/>
        <v>34.856924799818124</v>
      </c>
    </row>
    <row r="95" spans="1:17" x14ac:dyDescent="0.25">
      <c r="A95" s="1" t="s">
        <v>93</v>
      </c>
      <c r="B95" s="2">
        <v>741.47</v>
      </c>
      <c r="C95" s="2">
        <v>-37.450000000000003</v>
      </c>
      <c r="D95" s="17">
        <v>-4.8099999999999997E-2</v>
      </c>
      <c r="E95" s="4">
        <f t="shared" si="22"/>
        <v>753.93799999999987</v>
      </c>
      <c r="F95" s="4">
        <f t="shared" si="23"/>
        <v>35.959025746418369</v>
      </c>
      <c r="G95" s="4">
        <f t="shared" si="24"/>
        <v>825.85605149283663</v>
      </c>
      <c r="H95" s="4">
        <f t="shared" si="25"/>
        <v>682.01994850716312</v>
      </c>
      <c r="I95" s="4">
        <f t="shared" si="13"/>
        <v>759.90199999999993</v>
      </c>
      <c r="J95" s="4">
        <f t="shared" si="14"/>
        <v>770.40699999999993</v>
      </c>
      <c r="K95" s="4">
        <f t="shared" si="15"/>
        <v>753.93799999999987</v>
      </c>
      <c r="L95" s="4">
        <f t="shared" si="16"/>
        <v>669.81499999999994</v>
      </c>
      <c r="M95" s="11" t="str">
        <f t="shared" si="17"/>
        <v>打結隊形，忽上忽下看不懂</v>
      </c>
      <c r="N95" s="7" t="str">
        <f t="shared" si="18"/>
        <v/>
      </c>
      <c r="O95" s="21">
        <f t="shared" si="19"/>
        <v>0</v>
      </c>
      <c r="P95" s="4">
        <f t="shared" si="20"/>
        <v>28.59058882813018</v>
      </c>
      <c r="Q95" s="4">
        <f t="shared" si="21"/>
        <v>42.755190923683791</v>
      </c>
    </row>
    <row r="96" spans="1:17" x14ac:dyDescent="0.25">
      <c r="A96" s="1" t="s">
        <v>94</v>
      </c>
      <c r="B96" s="2">
        <v>778.92</v>
      </c>
      <c r="C96" s="2">
        <v>36.119999999999997</v>
      </c>
      <c r="D96" s="17">
        <v>4.8599999999999997E-2</v>
      </c>
      <c r="E96" s="4">
        <f t="shared" si="22"/>
        <v>753.77049999999997</v>
      </c>
      <c r="F96" s="4">
        <f t="shared" si="23"/>
        <v>36.027895694279657</v>
      </c>
      <c r="G96" s="4">
        <f t="shared" si="24"/>
        <v>825.8262913885593</v>
      </c>
      <c r="H96" s="4">
        <f t="shared" si="25"/>
        <v>681.71470861144064</v>
      </c>
      <c r="I96" s="4">
        <f t="shared" si="13"/>
        <v>770.47799999999995</v>
      </c>
      <c r="J96" s="4">
        <f t="shared" si="14"/>
        <v>776.02600000000007</v>
      </c>
      <c r="K96" s="4">
        <f t="shared" si="15"/>
        <v>753.77049999999997</v>
      </c>
      <c r="L96" s="4">
        <f t="shared" si="16"/>
        <v>665.83883333333324</v>
      </c>
      <c r="M96" s="11" t="str">
        <f t="shared" si="17"/>
        <v>打結隊形，忽上忽下看不懂</v>
      </c>
      <c r="N96" s="7" t="str">
        <f t="shared" si="18"/>
        <v/>
      </c>
      <c r="O96" s="21">
        <f t="shared" si="19"/>
        <v>70.067895247332601</v>
      </c>
      <c r="P96" s="4">
        <f t="shared" si="20"/>
        <v>42.88588324219527</v>
      </c>
      <c r="Q96" s="4">
        <f t="shared" si="21"/>
        <v>49.837491971460601</v>
      </c>
    </row>
    <row r="97" spans="1:17" x14ac:dyDescent="0.25">
      <c r="A97" s="1" t="s">
        <v>95</v>
      </c>
      <c r="B97" s="2">
        <v>742.8</v>
      </c>
      <c r="C97" s="2">
        <v>-18.79</v>
      </c>
      <c r="D97" s="17">
        <v>-2.47E-2</v>
      </c>
      <c r="E97" s="4">
        <f t="shared" si="22"/>
        <v>752.36649999999986</v>
      </c>
      <c r="F97" s="4">
        <f t="shared" si="23"/>
        <v>35.540075419017811</v>
      </c>
      <c r="G97" s="4">
        <f t="shared" si="24"/>
        <v>823.44665083803545</v>
      </c>
      <c r="H97" s="4">
        <f t="shared" si="25"/>
        <v>681.28634916196427</v>
      </c>
      <c r="I97" s="4">
        <f t="shared" si="13"/>
        <v>769.84799999999996</v>
      </c>
      <c r="J97" s="4">
        <f t="shared" si="14"/>
        <v>777.10500000000002</v>
      </c>
      <c r="K97" s="4">
        <f t="shared" si="15"/>
        <v>752.36649999999986</v>
      </c>
      <c r="L97" s="4">
        <f t="shared" si="16"/>
        <v>661.25549999999976</v>
      </c>
      <c r="M97" s="11" t="str">
        <f t="shared" si="17"/>
        <v>打結隊形，忽上忽下看不懂</v>
      </c>
      <c r="N97" s="7" t="str">
        <f t="shared" si="18"/>
        <v/>
      </c>
      <c r="O97" s="21">
        <f t="shared" si="19"/>
        <v>0</v>
      </c>
      <c r="P97" s="4">
        <f t="shared" si="20"/>
        <v>29.294877239626604</v>
      </c>
      <c r="Q97" s="4">
        <f t="shared" si="21"/>
        <v>53.313296336093273</v>
      </c>
    </row>
    <row r="98" spans="1:17" x14ac:dyDescent="0.25">
      <c r="A98" s="1" t="s">
        <v>96</v>
      </c>
      <c r="B98" s="2">
        <v>761.59</v>
      </c>
      <c r="C98" s="2">
        <v>-13.14</v>
      </c>
      <c r="D98" s="17">
        <v>-1.7000000000000001E-2</v>
      </c>
      <c r="E98" s="4">
        <f t="shared" si="22"/>
        <v>752.73649999999998</v>
      </c>
      <c r="F98" s="4">
        <f t="shared" si="23"/>
        <v>35.473696745468665</v>
      </c>
      <c r="G98" s="4">
        <f t="shared" si="24"/>
        <v>823.68389349093729</v>
      </c>
      <c r="H98" s="4">
        <f t="shared" si="25"/>
        <v>681.78910650906266</v>
      </c>
      <c r="I98" s="4">
        <f t="shared" si="13"/>
        <v>779.23199999999997</v>
      </c>
      <c r="J98" s="4">
        <f t="shared" si="14"/>
        <v>781.24300000000005</v>
      </c>
      <c r="K98" s="4">
        <f t="shared" si="15"/>
        <v>752.73649999999998</v>
      </c>
      <c r="L98" s="4">
        <f t="shared" si="16"/>
        <v>657.20199999999977</v>
      </c>
      <c r="M98" s="11" t="str">
        <f t="shared" si="17"/>
        <v>打結隊形，忽上忽下看不懂</v>
      </c>
      <c r="N98" s="7" t="str">
        <f t="shared" si="18"/>
        <v>▲死亡交叉(賣訊)</v>
      </c>
      <c r="O98" s="21">
        <f t="shared" si="19"/>
        <v>0</v>
      </c>
      <c r="P98" s="4">
        <f t="shared" si="20"/>
        <v>43.942315859439908</v>
      </c>
      <c r="Q98" s="4">
        <f t="shared" si="21"/>
        <v>65.322505884326603</v>
      </c>
    </row>
    <row r="99" spans="1:17" x14ac:dyDescent="0.25">
      <c r="A99" s="1" t="s">
        <v>97</v>
      </c>
      <c r="B99" s="2">
        <v>774.73</v>
      </c>
      <c r="C99" s="2">
        <v>-19.62</v>
      </c>
      <c r="D99" s="17">
        <v>-2.47E-2</v>
      </c>
      <c r="E99" s="4">
        <f t="shared" si="22"/>
        <v>750.72450000000003</v>
      </c>
      <c r="F99" s="4">
        <f t="shared" si="23"/>
        <v>36.081082005452814</v>
      </c>
      <c r="G99" s="4">
        <f t="shared" si="24"/>
        <v>822.88666401090563</v>
      </c>
      <c r="H99" s="4">
        <f t="shared" si="25"/>
        <v>678.56233598909444</v>
      </c>
      <c r="I99" s="4">
        <f t="shared" si="13"/>
        <v>782.68200000000002</v>
      </c>
      <c r="J99" s="4">
        <f t="shared" si="14"/>
        <v>780.14</v>
      </c>
      <c r="K99" s="4">
        <f t="shared" si="15"/>
        <v>750.72450000000003</v>
      </c>
      <c r="L99" s="4">
        <f t="shared" si="16"/>
        <v>652.36616666666646</v>
      </c>
      <c r="M99" s="11" t="str">
        <f t="shared" si="17"/>
        <v>進攻隊形，股票大漲</v>
      </c>
      <c r="N99" s="7" t="str">
        <f t="shared" si="18"/>
        <v/>
      </c>
      <c r="O99" s="21">
        <f t="shared" si="19"/>
        <v>27.847702957835214</v>
      </c>
      <c r="P99" s="4">
        <f t="shared" si="20"/>
        <v>65.913473789159866</v>
      </c>
      <c r="Q99" s="4">
        <f t="shared" si="21"/>
        <v>76.012600896769953</v>
      </c>
    </row>
    <row r="100" spans="1:17" x14ac:dyDescent="0.25">
      <c r="A100" s="1" t="s">
        <v>98</v>
      </c>
      <c r="B100" s="2">
        <v>794.35</v>
      </c>
      <c r="C100" s="2">
        <v>18.579999999999998</v>
      </c>
      <c r="D100" s="17">
        <v>2.4E-2</v>
      </c>
      <c r="E100" s="4">
        <f t="shared" si="22"/>
        <v>749.3655</v>
      </c>
      <c r="F100" s="4">
        <f t="shared" si="23"/>
        <v>35.638477797695593</v>
      </c>
      <c r="G100" s="4">
        <f t="shared" si="24"/>
        <v>820.6424555953912</v>
      </c>
      <c r="H100" s="4">
        <f t="shared" si="25"/>
        <v>678.0885444046088</v>
      </c>
      <c r="I100" s="4">
        <f t="shared" si="13"/>
        <v>780.91200000000003</v>
      </c>
      <c r="J100" s="4">
        <f t="shared" si="14"/>
        <v>774.79099999999994</v>
      </c>
      <c r="K100" s="4">
        <f t="shared" si="15"/>
        <v>749.3655</v>
      </c>
      <c r="L100" s="4">
        <f t="shared" si="16"/>
        <v>646.96399999999983</v>
      </c>
      <c r="M100" s="11" t="str">
        <f t="shared" si="17"/>
        <v>進攻隊形，股票大漲</v>
      </c>
      <c r="N100" s="7" t="str">
        <f t="shared" si="18"/>
        <v/>
      </c>
      <c r="O100" s="21">
        <f t="shared" si="19"/>
        <v>92.972399150743229</v>
      </c>
      <c r="P100" s="4">
        <f t="shared" si="20"/>
        <v>84.946359204822201</v>
      </c>
      <c r="Q100" s="4">
        <f t="shared" si="21"/>
        <v>81.062164450574997</v>
      </c>
    </row>
    <row r="101" spans="1:17" x14ac:dyDescent="0.25">
      <c r="A101" s="1" t="s">
        <v>99</v>
      </c>
      <c r="B101" s="2">
        <v>775.77</v>
      </c>
      <c r="C101" s="2">
        <v>-13.95</v>
      </c>
      <c r="D101" s="17">
        <v>-1.77E-2</v>
      </c>
      <c r="E101" s="4">
        <f t="shared" si="22"/>
        <v>746.79499999999996</v>
      </c>
      <c r="F101" s="4">
        <f t="shared" si="23"/>
        <v>34.041347381955191</v>
      </c>
      <c r="G101" s="4">
        <f t="shared" si="24"/>
        <v>814.87769476391031</v>
      </c>
      <c r="H101" s="4">
        <f t="shared" si="25"/>
        <v>678.71230523608961</v>
      </c>
      <c r="I101" s="4">
        <f t="shared" si="13"/>
        <v>781.57399999999996</v>
      </c>
      <c r="J101" s="4">
        <f t="shared" si="14"/>
        <v>763.48799999999994</v>
      </c>
      <c r="K101" s="4">
        <f t="shared" si="15"/>
        <v>746.79499999999996</v>
      </c>
      <c r="L101" s="4">
        <f t="shared" si="16"/>
        <v>641.83616666666637</v>
      </c>
      <c r="M101" s="11" t="str">
        <f t="shared" si="17"/>
        <v>進攻隊形，股票大漲</v>
      </c>
      <c r="N101" s="7" t="str">
        <f t="shared" si="18"/>
        <v/>
      </c>
      <c r="O101" s="21">
        <f t="shared" si="19"/>
        <v>71.355666056006285</v>
      </c>
      <c r="P101" s="4">
        <f t="shared" si="20"/>
        <v>80.933339231861694</v>
      </c>
      <c r="Q101" s="4">
        <f t="shared" si="21"/>
        <v>79.120067073451395</v>
      </c>
    </row>
    <row r="102" spans="1:17" x14ac:dyDescent="0.25">
      <c r="A102" s="1" t="s">
        <v>100</v>
      </c>
      <c r="B102" s="2">
        <v>789.72</v>
      </c>
      <c r="C102" s="2">
        <v>10.88</v>
      </c>
      <c r="D102" s="17">
        <v>1.4E-2</v>
      </c>
      <c r="E102" s="4">
        <f t="shared" si="22"/>
        <v>745.77350000000001</v>
      </c>
      <c r="F102" s="4">
        <f t="shared" si="23"/>
        <v>33.427100929918332</v>
      </c>
      <c r="G102" s="4">
        <f t="shared" si="24"/>
        <v>812.62770185983663</v>
      </c>
      <c r="H102" s="4">
        <f t="shared" si="25"/>
        <v>678.91929814016339</v>
      </c>
      <c r="I102" s="4">
        <f t="shared" si="13"/>
        <v>784.36199999999997</v>
      </c>
      <c r="J102" s="4">
        <f t="shared" si="14"/>
        <v>754.77199999999982</v>
      </c>
      <c r="K102" s="4">
        <f t="shared" si="15"/>
        <v>745.77350000000001</v>
      </c>
      <c r="L102" s="4">
        <f t="shared" si="16"/>
        <v>636.87583333333316</v>
      </c>
      <c r="M102" s="11" t="str">
        <f t="shared" si="17"/>
        <v>進攻隊形，股票大漲</v>
      </c>
      <c r="N102" s="7" t="str">
        <f t="shared" si="18"/>
        <v/>
      </c>
      <c r="O102" s="21">
        <f t="shared" si="19"/>
        <v>93.175176207667235</v>
      </c>
      <c r="P102" s="4">
        <f t="shared" si="20"/>
        <v>85.722175819789399</v>
      </c>
      <c r="Q102" s="4">
        <f t="shared" si="21"/>
        <v>78.213430994246238</v>
      </c>
    </row>
    <row r="103" spans="1:17" x14ac:dyDescent="0.25">
      <c r="A103" s="1" t="s">
        <v>101</v>
      </c>
      <c r="B103" s="2">
        <v>778.84</v>
      </c>
      <c r="C103" s="2">
        <v>12.96</v>
      </c>
      <c r="D103" s="17">
        <v>1.6899999999999998E-2</v>
      </c>
      <c r="E103" s="4">
        <f t="shared" si="22"/>
        <v>744.73500000000001</v>
      </c>
      <c r="F103" s="4">
        <f t="shared" si="23"/>
        <v>32.293339789139836</v>
      </c>
      <c r="G103" s="4">
        <f t="shared" si="24"/>
        <v>809.32167957827971</v>
      </c>
      <c r="H103" s="4">
        <f t="shared" si="25"/>
        <v>680.14832042172031</v>
      </c>
      <c r="I103" s="4">
        <f t="shared" si="13"/>
        <v>783.25400000000002</v>
      </c>
      <c r="J103" s="4">
        <f t="shared" si="14"/>
        <v>746.40499999999997</v>
      </c>
      <c r="K103" s="4">
        <f t="shared" si="15"/>
        <v>744.73500000000001</v>
      </c>
      <c r="L103" s="4">
        <f t="shared" si="16"/>
        <v>631.28566666666654</v>
      </c>
      <c r="M103" s="11" t="str">
        <f t="shared" si="17"/>
        <v>進攻隊形，股票大漲</v>
      </c>
      <c r="N103" s="7" t="str">
        <f t="shared" si="18"/>
        <v/>
      </c>
      <c r="O103" s="21">
        <f t="shared" si="19"/>
        <v>83.823276603060037</v>
      </c>
      <c r="P103" s="4">
        <f t="shared" si="20"/>
        <v>81.995675625850495</v>
      </c>
      <c r="Q103" s="4">
        <f t="shared" si="21"/>
        <v>74.459058581474665</v>
      </c>
    </row>
    <row r="104" spans="1:17" x14ac:dyDescent="0.25">
      <c r="A104" s="1" t="s">
        <v>102</v>
      </c>
      <c r="B104" s="2">
        <v>765.88</v>
      </c>
      <c r="C104" s="2">
        <v>-31.78</v>
      </c>
      <c r="D104" s="17">
        <v>-3.9800000000000002E-2</v>
      </c>
      <c r="E104" s="4">
        <f t="shared" si="22"/>
        <v>742.79300000000001</v>
      </c>
      <c r="F104" s="4">
        <f t="shared" si="23"/>
        <v>31.286602160299253</v>
      </c>
      <c r="G104" s="4">
        <f t="shared" si="24"/>
        <v>805.36620432059851</v>
      </c>
      <c r="H104" s="4">
        <f t="shared" si="25"/>
        <v>680.2197956794015</v>
      </c>
      <c r="I104" s="4">
        <f t="shared" si="13"/>
        <v>777.59799999999996</v>
      </c>
      <c r="J104" s="4">
        <f t="shared" si="14"/>
        <v>739.52699999999982</v>
      </c>
      <c r="K104" s="4">
        <f t="shared" si="15"/>
        <v>742.79300000000001</v>
      </c>
      <c r="L104" s="4">
        <f t="shared" si="16"/>
        <v>626.3264999999999</v>
      </c>
      <c r="M104" s="11" t="str">
        <f t="shared" si="17"/>
        <v>打結隊形，忽上忽下看不懂</v>
      </c>
      <c r="N104" s="7" t="str">
        <f t="shared" si="18"/>
        <v/>
      </c>
      <c r="O104" s="21">
        <f t="shared" si="19"/>
        <v>72.68351383874851</v>
      </c>
      <c r="P104" s="4">
        <f t="shared" si="20"/>
        <v>81.081875137245731</v>
      </c>
      <c r="Q104" s="4">
        <f t="shared" si="21"/>
        <v>70.690750059286756</v>
      </c>
    </row>
    <row r="105" spans="1:17" x14ac:dyDescent="0.25">
      <c r="A105" s="1" t="s">
        <v>103</v>
      </c>
      <c r="B105" s="2">
        <v>797.66</v>
      </c>
      <c r="C105" s="2">
        <v>7.95</v>
      </c>
      <c r="D105" s="17">
        <v>1.01E-2</v>
      </c>
      <c r="E105" s="4">
        <f t="shared" si="22"/>
        <v>740.91700000000014</v>
      </c>
      <c r="F105" s="4">
        <f t="shared" si="23"/>
        <v>30.952503869468678</v>
      </c>
      <c r="G105" s="4">
        <f t="shared" si="24"/>
        <v>802.82200773893749</v>
      </c>
      <c r="H105" s="4">
        <f t="shared" si="25"/>
        <v>679.0119922610628</v>
      </c>
      <c r="I105" s="4">
        <f t="shared" si="13"/>
        <v>768.66999999999985</v>
      </c>
      <c r="J105" s="4">
        <f t="shared" si="14"/>
        <v>737.46899999999994</v>
      </c>
      <c r="K105" s="4">
        <f t="shared" si="15"/>
        <v>740.91700000000014</v>
      </c>
      <c r="L105" s="4">
        <f t="shared" si="16"/>
        <v>621.68666666666661</v>
      </c>
      <c r="M105" s="11" t="str">
        <f t="shared" si="17"/>
        <v>打結隊形，忽上忽下看不懂</v>
      </c>
      <c r="N105" s="7" t="str">
        <f t="shared" si="18"/>
        <v/>
      </c>
      <c r="O105" s="21">
        <f t="shared" si="19"/>
        <v>100</v>
      </c>
      <c r="P105" s="4">
        <f t="shared" si="20"/>
        <v>85.281055786494363</v>
      </c>
      <c r="Q105" s="4">
        <f t="shared" si="21"/>
        <v>65.495187520307269</v>
      </c>
    </row>
    <row r="106" spans="1:17" x14ac:dyDescent="0.25">
      <c r="A106" s="1" t="s">
        <v>104</v>
      </c>
      <c r="B106" s="2">
        <v>789.71</v>
      </c>
      <c r="C106" s="2">
        <v>5.53</v>
      </c>
      <c r="D106" s="17">
        <v>7.1000000000000004E-3</v>
      </c>
      <c r="E106" s="4">
        <f t="shared" si="22"/>
        <v>737.13850000000014</v>
      </c>
      <c r="F106" s="4">
        <f t="shared" si="23"/>
        <v>28.146458181410583</v>
      </c>
      <c r="G106" s="4">
        <f t="shared" si="24"/>
        <v>793.43141636282132</v>
      </c>
      <c r="H106" s="4">
        <f t="shared" si="25"/>
        <v>680.84558363717895</v>
      </c>
      <c r="I106" s="4">
        <f t="shared" si="13"/>
        <v>745.40199999999993</v>
      </c>
      <c r="J106" s="4">
        <f t="shared" si="14"/>
        <v>731.51499999999999</v>
      </c>
      <c r="K106" s="4">
        <f t="shared" si="15"/>
        <v>737.13850000000014</v>
      </c>
      <c r="L106" s="4">
        <f t="shared" si="16"/>
        <v>616.56783333333328</v>
      </c>
      <c r="M106" s="11" t="str">
        <f t="shared" si="17"/>
        <v>打結隊形，忽上忽下看不懂</v>
      </c>
      <c r="N106" s="7" t="str">
        <f t="shared" si="18"/>
        <v>★黃金交叉(買訊)</v>
      </c>
      <c r="O106" s="21">
        <f t="shared" si="19"/>
        <v>100</v>
      </c>
      <c r="P106" s="4">
        <f t="shared" si="20"/>
        <v>77.921583679741559</v>
      </c>
      <c r="Q106" s="4">
        <f t="shared" si="21"/>
        <v>55.602253387213722</v>
      </c>
    </row>
    <row r="107" spans="1:17" x14ac:dyDescent="0.25">
      <c r="A107" s="1" t="s">
        <v>105</v>
      </c>
      <c r="B107" s="2">
        <v>784.18</v>
      </c>
      <c r="C107" s="2">
        <v>33.619999999999997</v>
      </c>
      <c r="D107" s="17">
        <v>4.48E-2</v>
      </c>
      <c r="E107" s="4">
        <f t="shared" si="22"/>
        <v>733.79950000000008</v>
      </c>
      <c r="F107" s="4">
        <f t="shared" si="23"/>
        <v>25.409674385328533</v>
      </c>
      <c r="G107" s="4">
        <f t="shared" si="24"/>
        <v>784.61884877065711</v>
      </c>
      <c r="H107" s="4">
        <f t="shared" si="25"/>
        <v>682.98015122934305</v>
      </c>
      <c r="I107" s="4">
        <f t="shared" si="13"/>
        <v>725.18200000000002</v>
      </c>
      <c r="J107" s="4">
        <f t="shared" si="14"/>
        <v>727.62800000000004</v>
      </c>
      <c r="K107" s="4">
        <f t="shared" si="15"/>
        <v>733.79950000000008</v>
      </c>
      <c r="L107" s="4">
        <f t="shared" si="16"/>
        <v>611.50333333333333</v>
      </c>
      <c r="M107" s="11" t="str">
        <f t="shared" si="17"/>
        <v>撤退隊形，股票跌慘</v>
      </c>
      <c r="N107" s="7" t="str">
        <f t="shared" si="18"/>
        <v/>
      </c>
      <c r="O107" s="21">
        <f t="shared" si="19"/>
        <v>100</v>
      </c>
      <c r="P107" s="4">
        <f t="shared" si="20"/>
        <v>66.882375519612339</v>
      </c>
      <c r="Q107" s="4">
        <f t="shared" si="21"/>
        <v>44.442588240949803</v>
      </c>
    </row>
    <row r="108" spans="1:17" x14ac:dyDescent="0.25">
      <c r="A108" s="1" t="s">
        <v>106</v>
      </c>
      <c r="B108" s="2">
        <v>750.56</v>
      </c>
      <c r="C108" s="2">
        <v>29.32</v>
      </c>
      <c r="D108" s="17">
        <v>4.07E-2</v>
      </c>
      <c r="E108" s="4">
        <f t="shared" si="22"/>
        <v>730.57850000000019</v>
      </c>
      <c r="F108" s="4">
        <f t="shared" si="23"/>
        <v>22.616709536604965</v>
      </c>
      <c r="G108" s="4">
        <f t="shared" si="24"/>
        <v>775.81191907321011</v>
      </c>
      <c r="H108" s="4">
        <f t="shared" si="25"/>
        <v>685.34508092679027</v>
      </c>
      <c r="I108" s="4">
        <f t="shared" si="13"/>
        <v>709.55599999999993</v>
      </c>
      <c r="J108" s="4">
        <f t="shared" si="14"/>
        <v>724.23</v>
      </c>
      <c r="K108" s="4">
        <f t="shared" si="15"/>
        <v>730.57850000000019</v>
      </c>
      <c r="L108" s="4">
        <f t="shared" si="16"/>
        <v>606.27649999999994</v>
      </c>
      <c r="M108" s="11" t="str">
        <f t="shared" si="17"/>
        <v>撤退隊形，股票跌慘</v>
      </c>
      <c r="N108" s="7" t="str">
        <f t="shared" si="18"/>
        <v/>
      </c>
      <c r="O108" s="21">
        <f t="shared" si="19"/>
        <v>99.597238204833019</v>
      </c>
      <c r="P108" s="4">
        <f t="shared" si="20"/>
        <v>50.323563279418515</v>
      </c>
      <c r="Q108" s="4">
        <f t="shared" si="21"/>
        <v>33.222694601618542</v>
      </c>
    </row>
    <row r="109" spans="1:17" x14ac:dyDescent="0.25">
      <c r="A109" s="1" t="s">
        <v>107</v>
      </c>
      <c r="B109" s="2">
        <v>721.24</v>
      </c>
      <c r="C109" s="2">
        <v>39.92</v>
      </c>
      <c r="D109" s="17">
        <v>5.8599999999999999E-2</v>
      </c>
      <c r="E109" s="4">
        <f t="shared" si="22"/>
        <v>727.5680000000001</v>
      </c>
      <c r="F109" s="4">
        <f t="shared" si="23"/>
        <v>23.79363594701212</v>
      </c>
      <c r="G109" s="4">
        <f t="shared" si="24"/>
        <v>775.15527189402428</v>
      </c>
      <c r="H109" s="4">
        <f t="shared" si="25"/>
        <v>679.98072810597591</v>
      </c>
      <c r="I109" s="4">
        <f t="shared" si="13"/>
        <v>701.45600000000002</v>
      </c>
      <c r="J109" s="4">
        <f t="shared" si="14"/>
        <v>721.30899999999997</v>
      </c>
      <c r="K109" s="4">
        <f t="shared" si="15"/>
        <v>727.5680000000001</v>
      </c>
      <c r="L109" s="4">
        <f t="shared" si="16"/>
        <v>601.44016666666664</v>
      </c>
      <c r="M109" s="11" t="str">
        <f t="shared" si="17"/>
        <v>撤退隊形，股票跌慘</v>
      </c>
      <c r="N109" s="7" t="str">
        <f t="shared" si="18"/>
        <v/>
      </c>
      <c r="O109" s="21">
        <f t="shared" si="19"/>
        <v>57.422324510932064</v>
      </c>
      <c r="P109" s="4">
        <f t="shared" si="20"/>
        <v>25.686725816711274</v>
      </c>
      <c r="Q109" s="4">
        <f t="shared" si="21"/>
        <v>24.672260262718563</v>
      </c>
    </row>
    <row r="110" spans="1:17" x14ac:dyDescent="0.25">
      <c r="A110" s="1" t="s">
        <v>108</v>
      </c>
      <c r="B110" s="2">
        <v>681.32</v>
      </c>
      <c r="C110" s="2">
        <v>-7.29</v>
      </c>
      <c r="D110" s="17">
        <v>-1.06E-2</v>
      </c>
      <c r="E110" s="4">
        <f t="shared" si="22"/>
        <v>726.22900000000004</v>
      </c>
      <c r="F110" s="4">
        <f t="shared" si="23"/>
        <v>24.896462209043197</v>
      </c>
      <c r="G110" s="4">
        <f t="shared" si="24"/>
        <v>776.02192441808643</v>
      </c>
      <c r="H110" s="4">
        <f t="shared" si="25"/>
        <v>676.43607558191366</v>
      </c>
      <c r="I110" s="4">
        <f t="shared" si="13"/>
        <v>706.26800000000003</v>
      </c>
      <c r="J110" s="4">
        <f t="shared" si="14"/>
        <v>723.94</v>
      </c>
      <c r="K110" s="4">
        <f t="shared" si="15"/>
        <v>726.22900000000004</v>
      </c>
      <c r="L110" s="4">
        <f t="shared" si="16"/>
        <v>597.15933333333328</v>
      </c>
      <c r="M110" s="11" t="str">
        <f t="shared" si="17"/>
        <v>撤退隊形，股票跌慘</v>
      </c>
      <c r="N110" s="7" t="str">
        <f t="shared" si="18"/>
        <v/>
      </c>
      <c r="O110" s="21">
        <f t="shared" si="19"/>
        <v>0</v>
      </c>
      <c r="P110" s="4">
        <f t="shared" si="20"/>
        <v>9.8189264696008784</v>
      </c>
      <c r="Q110" s="4">
        <f t="shared" si="21"/>
        <v>24.165027485722213</v>
      </c>
    </row>
    <row r="111" spans="1:17" x14ac:dyDescent="0.25">
      <c r="A111" s="1" t="s">
        <v>109</v>
      </c>
      <c r="B111" s="2">
        <v>688.61</v>
      </c>
      <c r="C111" s="2">
        <v>-17.440000000000001</v>
      </c>
      <c r="D111" s="17">
        <v>-2.47E-2</v>
      </c>
      <c r="E111" s="4">
        <f t="shared" si="22"/>
        <v>726.36300000000006</v>
      </c>
      <c r="F111" s="4">
        <f t="shared" si="23"/>
        <v>24.647999619911516</v>
      </c>
      <c r="G111" s="4">
        <f t="shared" si="24"/>
        <v>775.65899923982306</v>
      </c>
      <c r="H111" s="4">
        <f t="shared" si="25"/>
        <v>677.06700076017705</v>
      </c>
      <c r="I111" s="4">
        <f t="shared" si="13"/>
        <v>717.62799999999993</v>
      </c>
      <c r="J111" s="4">
        <f t="shared" si="14"/>
        <v>730.10200000000009</v>
      </c>
      <c r="K111" s="4">
        <f t="shared" si="15"/>
        <v>726.36300000000006</v>
      </c>
      <c r="L111" s="4">
        <f t="shared" si="16"/>
        <v>593.48516666666671</v>
      </c>
      <c r="M111" s="11" t="str">
        <f t="shared" si="17"/>
        <v>打結隊形，忽上忽下看不懂</v>
      </c>
      <c r="N111" s="7" t="str">
        <f t="shared" si="18"/>
        <v/>
      </c>
      <c r="O111" s="21">
        <f t="shared" si="19"/>
        <v>0</v>
      </c>
      <c r="P111" s="4">
        <f t="shared" si="20"/>
        <v>14.728389704401319</v>
      </c>
      <c r="Q111" s="4">
        <f t="shared" si="21"/>
        <v>31.338077993782882</v>
      </c>
    </row>
    <row r="112" spans="1:17" x14ac:dyDescent="0.25">
      <c r="A112" s="1" t="s">
        <v>110</v>
      </c>
      <c r="B112" s="2">
        <v>706.05</v>
      </c>
      <c r="C112" s="2">
        <v>-4.01</v>
      </c>
      <c r="D112" s="17">
        <v>-5.5999999999999999E-3</v>
      </c>
      <c r="E112" s="4">
        <f t="shared" si="22"/>
        <v>725.32200000000012</v>
      </c>
      <c r="F112" s="4">
        <f t="shared" si="23"/>
        <v>26.682132322270618</v>
      </c>
      <c r="G112" s="4">
        <f t="shared" si="24"/>
        <v>778.68626464454132</v>
      </c>
      <c r="H112" s="4">
        <f t="shared" si="25"/>
        <v>671.95773535545891</v>
      </c>
      <c r="I112" s="4">
        <f t="shared" si="13"/>
        <v>730.07399999999996</v>
      </c>
      <c r="J112" s="4">
        <f t="shared" si="14"/>
        <v>736.77499999999998</v>
      </c>
      <c r="K112" s="4">
        <f t="shared" si="15"/>
        <v>725.32200000000012</v>
      </c>
      <c r="L112" s="4">
        <f t="shared" si="16"/>
        <v>589.50416666666683</v>
      </c>
      <c r="M112" s="11" t="str">
        <f t="shared" si="17"/>
        <v>打結隊形，忽上忽下看不懂</v>
      </c>
      <c r="N112" s="7" t="str">
        <f t="shared" si="18"/>
        <v/>
      </c>
      <c r="O112" s="21">
        <f t="shared" si="19"/>
        <v>0</v>
      </c>
      <c r="P112" s="4">
        <f t="shared" si="20"/>
        <v>22.092584556601981</v>
      </c>
      <c r="Q112" s="4">
        <f t="shared" si="21"/>
        <v>39.642922138473665</v>
      </c>
    </row>
    <row r="113" spans="1:17" x14ac:dyDescent="0.25">
      <c r="A113" s="1" t="s">
        <v>111</v>
      </c>
      <c r="B113" s="2">
        <v>710.06</v>
      </c>
      <c r="C113" s="2">
        <v>-35.24</v>
      </c>
      <c r="D113" s="17">
        <v>-4.7300000000000002E-2</v>
      </c>
      <c r="E113" s="4">
        <f t="shared" si="22"/>
        <v>722.50450000000023</v>
      </c>
      <c r="F113" s="4">
        <f t="shared" si="23"/>
        <v>31.384959769559085</v>
      </c>
      <c r="G113" s="4">
        <f t="shared" si="24"/>
        <v>785.27441953911841</v>
      </c>
      <c r="H113" s="4">
        <f t="shared" si="25"/>
        <v>659.73458046088206</v>
      </c>
      <c r="I113" s="4">
        <f t="shared" si="13"/>
        <v>738.90400000000011</v>
      </c>
      <c r="J113" s="4">
        <f t="shared" si="14"/>
        <v>743.06500000000005</v>
      </c>
      <c r="K113" s="4">
        <f t="shared" si="15"/>
        <v>722.50450000000023</v>
      </c>
      <c r="L113" s="4">
        <f t="shared" si="16"/>
        <v>585.0098333333334</v>
      </c>
      <c r="M113" s="11" t="str">
        <f t="shared" si="17"/>
        <v>打結隊形，忽上忽下看不懂</v>
      </c>
      <c r="N113" s="7" t="str">
        <f t="shared" si="18"/>
        <v/>
      </c>
      <c r="O113" s="21">
        <f t="shared" si="19"/>
        <v>0</v>
      </c>
      <c r="P113" s="4">
        <f t="shared" si="20"/>
        <v>33.138876834902973</v>
      </c>
      <c r="Q113" s="4">
        <f t="shared" si="21"/>
        <v>48.418090929409509</v>
      </c>
    </row>
    <row r="114" spans="1:17" x14ac:dyDescent="0.25">
      <c r="A114" s="1" t="s">
        <v>112</v>
      </c>
      <c r="B114" s="2">
        <v>745.3</v>
      </c>
      <c r="C114" s="2">
        <v>7.18</v>
      </c>
      <c r="D114" s="17">
        <v>9.7000000000000003E-3</v>
      </c>
      <c r="E114" s="4">
        <f t="shared" si="22"/>
        <v>719.28550000000018</v>
      </c>
      <c r="F114" s="4">
        <f t="shared" si="23"/>
        <v>35.729390301484159</v>
      </c>
      <c r="G114" s="4">
        <f t="shared" si="24"/>
        <v>790.7442806029685</v>
      </c>
      <c r="H114" s="4">
        <f t="shared" si="25"/>
        <v>647.82671939703187</v>
      </c>
      <c r="I114" s="4">
        <f t="shared" si="13"/>
        <v>741.16200000000003</v>
      </c>
      <c r="J114" s="4">
        <f t="shared" si="14"/>
        <v>746.05899999999997</v>
      </c>
      <c r="K114" s="4">
        <f t="shared" si="15"/>
        <v>719.28550000000018</v>
      </c>
      <c r="L114" s="4">
        <f t="shared" si="16"/>
        <v>580.55150000000003</v>
      </c>
      <c r="M114" s="11" t="str">
        <f t="shared" si="17"/>
        <v>打結隊形，忽上忽下看不懂</v>
      </c>
      <c r="N114" s="7" t="str">
        <f t="shared" si="18"/>
        <v/>
      </c>
      <c r="O114" s="21">
        <f t="shared" si="19"/>
        <v>50.315126050419998</v>
      </c>
      <c r="P114" s="4">
        <f t="shared" si="20"/>
        <v>49.708315252354467</v>
      </c>
      <c r="Q114" s="4">
        <f t="shared" si="21"/>
        <v>56.05769797666278</v>
      </c>
    </row>
    <row r="115" spans="1:17" x14ac:dyDescent="0.25">
      <c r="A115" s="1" t="s">
        <v>113</v>
      </c>
      <c r="B115" s="2">
        <v>738.12</v>
      </c>
      <c r="C115" s="2">
        <v>-12.72</v>
      </c>
      <c r="D115" s="17">
        <v>-1.6899999999999998E-2</v>
      </c>
      <c r="E115" s="4">
        <f t="shared" si="22"/>
        <v>713.28100000000018</v>
      </c>
      <c r="F115" s="4">
        <f t="shared" si="23"/>
        <v>40.851182022452903</v>
      </c>
      <c r="G115" s="4">
        <f t="shared" si="24"/>
        <v>794.98336404490601</v>
      </c>
      <c r="H115" s="4">
        <f t="shared" si="25"/>
        <v>631.57863595509434</v>
      </c>
      <c r="I115" s="4">
        <f t="shared" si="13"/>
        <v>741.61199999999985</v>
      </c>
      <c r="J115" s="4">
        <f t="shared" si="14"/>
        <v>744.36500000000001</v>
      </c>
      <c r="K115" s="4">
        <f t="shared" si="15"/>
        <v>713.28100000000018</v>
      </c>
      <c r="L115" s="4">
        <f t="shared" si="16"/>
        <v>575.69666666666672</v>
      </c>
      <c r="M115" s="11" t="str">
        <f t="shared" si="17"/>
        <v>打結隊形，忽上忽下看不懂</v>
      </c>
      <c r="N115" s="7" t="str">
        <f t="shared" si="18"/>
        <v/>
      </c>
      <c r="O115" s="21">
        <f t="shared" si="19"/>
        <v>35.231092436974734</v>
      </c>
      <c r="P115" s="4">
        <f t="shared" si="20"/>
        <v>49.404909853321705</v>
      </c>
      <c r="Q115" s="4">
        <f t="shared" si="21"/>
        <v>59.232389338816944</v>
      </c>
    </row>
    <row r="116" spans="1:17" x14ac:dyDescent="0.25">
      <c r="A116" s="1" t="s">
        <v>114</v>
      </c>
      <c r="B116" s="2">
        <v>750.84</v>
      </c>
      <c r="C116" s="2">
        <v>0.64</v>
      </c>
      <c r="D116" s="17">
        <v>8.9999999999999998E-4</v>
      </c>
      <c r="E116" s="4">
        <f t="shared" si="22"/>
        <v>706.8075</v>
      </c>
      <c r="F116" s="4">
        <f t="shared" si="23"/>
        <v>46.566369485984879</v>
      </c>
      <c r="G116" s="4">
        <f t="shared" si="24"/>
        <v>799.94023897196973</v>
      </c>
      <c r="H116" s="4">
        <f t="shared" si="25"/>
        <v>613.67476102803028</v>
      </c>
      <c r="I116" s="4">
        <f t="shared" si="13"/>
        <v>742.57599999999991</v>
      </c>
      <c r="J116" s="4">
        <f t="shared" si="14"/>
        <v>742.76199999999994</v>
      </c>
      <c r="K116" s="4">
        <f t="shared" si="15"/>
        <v>706.8075</v>
      </c>
      <c r="L116" s="4">
        <f t="shared" si="16"/>
        <v>570.86316666666664</v>
      </c>
      <c r="M116" s="11" t="str">
        <f t="shared" si="17"/>
        <v>打結隊形，忽上忽下看不懂</v>
      </c>
      <c r="N116" s="7" t="str">
        <f t="shared" si="18"/>
        <v>▲死亡交叉(賣訊)</v>
      </c>
      <c r="O116" s="21">
        <f t="shared" si="19"/>
        <v>61.953781512605033</v>
      </c>
      <c r="P116" s="4">
        <f t="shared" si="20"/>
        <v>56.491818561495194</v>
      </c>
      <c r="Q116" s="4">
        <f t="shared" si="21"/>
        <v>64.146129081564567</v>
      </c>
    </row>
    <row r="117" spans="1:17" x14ac:dyDescent="0.25">
      <c r="A117" s="1" t="s">
        <v>115</v>
      </c>
      <c r="B117" s="2">
        <v>750.2</v>
      </c>
      <c r="C117" s="2">
        <v>28.85</v>
      </c>
      <c r="D117" s="18">
        <v>0.04</v>
      </c>
      <c r="E117" s="4">
        <f t="shared" si="22"/>
        <v>698.96050000000014</v>
      </c>
      <c r="F117" s="4">
        <f t="shared" si="23"/>
        <v>51.696402651492733</v>
      </c>
      <c r="G117" s="4">
        <f t="shared" si="24"/>
        <v>802.35330530298563</v>
      </c>
      <c r="H117" s="4">
        <f t="shared" si="25"/>
        <v>595.56769469701464</v>
      </c>
      <c r="I117" s="4">
        <f t="shared" si="13"/>
        <v>743.47600000000011</v>
      </c>
      <c r="J117" s="4">
        <f t="shared" si="14"/>
        <v>739.97100000000012</v>
      </c>
      <c r="K117" s="4">
        <f t="shared" si="15"/>
        <v>698.96050000000014</v>
      </c>
      <c r="L117" s="4">
        <f t="shared" si="16"/>
        <v>565.49300000000005</v>
      </c>
      <c r="M117" s="11" t="str">
        <f t="shared" si="17"/>
        <v>進攻隊形，股票大漲</v>
      </c>
      <c r="N117" s="7" t="str">
        <f t="shared" si="18"/>
        <v/>
      </c>
      <c r="O117" s="21">
        <f t="shared" si="19"/>
        <v>60.609243697479009</v>
      </c>
      <c r="P117" s="4">
        <f t="shared" si="20"/>
        <v>53.760837085940281</v>
      </c>
      <c r="Q117" s="4">
        <f t="shared" si="21"/>
        <v>67.973284341599253</v>
      </c>
    </row>
    <row r="118" spans="1:17" x14ac:dyDescent="0.25">
      <c r="A118" s="1" t="s">
        <v>116</v>
      </c>
      <c r="B118" s="2">
        <v>721.35</v>
      </c>
      <c r="C118" s="2">
        <v>-26.2</v>
      </c>
      <c r="D118" s="17">
        <v>-3.5000000000000003E-2</v>
      </c>
      <c r="E118" s="4">
        <f t="shared" si="22"/>
        <v>691.42800000000011</v>
      </c>
      <c r="F118" s="4">
        <f t="shared" si="23"/>
        <v>54.724204651477976</v>
      </c>
      <c r="G118" s="4">
        <f t="shared" si="24"/>
        <v>800.87640930295606</v>
      </c>
      <c r="H118" s="4">
        <f t="shared" si="25"/>
        <v>581.97959069704416</v>
      </c>
      <c r="I118" s="4">
        <f t="shared" si="13"/>
        <v>747.226</v>
      </c>
      <c r="J118" s="4">
        <f t="shared" si="14"/>
        <v>736.92700000000002</v>
      </c>
      <c r="K118" s="4">
        <f t="shared" si="15"/>
        <v>691.42800000000011</v>
      </c>
      <c r="L118" s="4">
        <f t="shared" si="16"/>
        <v>560.16716666666673</v>
      </c>
      <c r="M118" s="11" t="str">
        <f t="shared" si="17"/>
        <v>進攻隊形，股票大漲</v>
      </c>
      <c r="N118" s="7" t="str">
        <f t="shared" si="18"/>
        <v/>
      </c>
      <c r="O118" s="21">
        <f t="shared" si="19"/>
        <v>0</v>
      </c>
      <c r="P118" s="4">
        <f t="shared" si="20"/>
        <v>50.336633780170928</v>
      </c>
      <c r="Q118" s="4">
        <f t="shared" si="21"/>
        <v>75.079507969428747</v>
      </c>
    </row>
    <row r="119" spans="1:17" x14ac:dyDescent="0.25">
      <c r="A119" s="1" t="s">
        <v>117</v>
      </c>
      <c r="B119" s="2">
        <v>747.55</v>
      </c>
      <c r="C119" s="2">
        <v>4.6100000000000003</v>
      </c>
      <c r="D119" s="17">
        <v>6.1999999999999998E-3</v>
      </c>
      <c r="E119" s="4">
        <f t="shared" si="22"/>
        <v>684.66399999999999</v>
      </c>
      <c r="F119" s="4">
        <f t="shared" si="23"/>
        <v>59.022734727703387</v>
      </c>
      <c r="G119" s="4">
        <f t="shared" si="24"/>
        <v>802.70946945540675</v>
      </c>
      <c r="H119" s="4">
        <f t="shared" si="25"/>
        <v>566.61853054459323</v>
      </c>
      <c r="I119" s="4">
        <f t="shared" si="13"/>
        <v>750.9559999999999</v>
      </c>
      <c r="J119" s="4">
        <f t="shared" si="14"/>
        <v>733.827</v>
      </c>
      <c r="K119" s="4">
        <f t="shared" si="15"/>
        <v>684.66399999999999</v>
      </c>
      <c r="L119" s="4">
        <f t="shared" si="16"/>
        <v>555.44766666666669</v>
      </c>
      <c r="M119" s="11" t="str">
        <f t="shared" si="17"/>
        <v>進攻隊形，股票大漲</v>
      </c>
      <c r="N119" s="7" t="str">
        <f t="shared" si="18"/>
        <v/>
      </c>
      <c r="O119" s="21">
        <f t="shared" si="19"/>
        <v>56.495222606220644</v>
      </c>
      <c r="P119" s="4">
        <f t="shared" si="20"/>
        <v>75.504950670256392</v>
      </c>
      <c r="Q119" s="4">
        <f t="shared" si="21"/>
        <v>87.450945064057663</v>
      </c>
    </row>
    <row r="120" spans="1:17" x14ac:dyDescent="0.25">
      <c r="A120" s="1" t="s">
        <v>118</v>
      </c>
      <c r="B120" s="2">
        <v>742.94</v>
      </c>
      <c r="C120" s="2">
        <v>-12.4</v>
      </c>
      <c r="D120" s="17">
        <v>-1.6400000000000001E-2</v>
      </c>
      <c r="E120" s="4">
        <f t="shared" si="22"/>
        <v>675.96100000000001</v>
      </c>
      <c r="F120" s="4">
        <f t="shared" si="23"/>
        <v>62.018734936774514</v>
      </c>
      <c r="G120" s="4">
        <f t="shared" si="24"/>
        <v>799.99846987354908</v>
      </c>
      <c r="H120" s="4">
        <f t="shared" si="25"/>
        <v>551.92353012645094</v>
      </c>
      <c r="I120" s="4">
        <f t="shared" si="13"/>
        <v>747.11800000000017</v>
      </c>
      <c r="J120" s="4">
        <f t="shared" si="14"/>
        <v>728.51800000000014</v>
      </c>
      <c r="K120" s="4">
        <f t="shared" si="15"/>
        <v>675.96100000000001</v>
      </c>
      <c r="L120" s="4">
        <f t="shared" si="16"/>
        <v>550.40566666666678</v>
      </c>
      <c r="M120" s="11" t="str">
        <f t="shared" si="17"/>
        <v>進攻隊形，股票大漲</v>
      </c>
      <c r="N120" s="7" t="str">
        <f t="shared" si="18"/>
        <v/>
      </c>
      <c r="O120" s="21">
        <f t="shared" si="19"/>
        <v>66.908396946564906</v>
      </c>
      <c r="P120" s="4">
        <f t="shared" si="20"/>
        <v>85.009814702274269</v>
      </c>
      <c r="Q120" s="4">
        <f t="shared" si="21"/>
        <v>93.423942260958299</v>
      </c>
    </row>
    <row r="121" spans="1:17" x14ac:dyDescent="0.25">
      <c r="A121" s="1" t="s">
        <v>119</v>
      </c>
      <c r="B121" s="2">
        <v>755.34</v>
      </c>
      <c r="C121" s="2">
        <v>-13.61</v>
      </c>
      <c r="D121" s="17">
        <v>-1.77E-2</v>
      </c>
      <c r="E121" s="4">
        <f t="shared" si="22"/>
        <v>665.64400000000001</v>
      </c>
      <c r="F121" s="4">
        <f t="shared" si="23"/>
        <v>67.233543586203268</v>
      </c>
      <c r="G121" s="4">
        <f t="shared" si="24"/>
        <v>800.11108717240654</v>
      </c>
      <c r="H121" s="4">
        <f t="shared" si="25"/>
        <v>531.17691282759347</v>
      </c>
      <c r="I121" s="4">
        <f t="shared" si="13"/>
        <v>742.94800000000009</v>
      </c>
      <c r="J121" s="4">
        <f t="shared" si="14"/>
        <v>722.62400000000002</v>
      </c>
      <c r="K121" s="4">
        <f t="shared" si="15"/>
        <v>665.64400000000001</v>
      </c>
      <c r="L121" s="4">
        <f t="shared" si="16"/>
        <v>545.32000000000005</v>
      </c>
      <c r="M121" s="11" t="str">
        <f t="shared" si="17"/>
        <v>進攻隊形，股票大漲</v>
      </c>
      <c r="N121" s="7" t="str">
        <f t="shared" si="18"/>
        <v/>
      </c>
      <c r="O121" s="21">
        <f t="shared" si="19"/>
        <v>82.684478371501257</v>
      </c>
      <c r="P121" s="4">
        <f t="shared" si="20"/>
        <v>94.060523580128972</v>
      </c>
      <c r="Q121" s="4">
        <f t="shared" si="21"/>
        <v>97.631006040300321</v>
      </c>
    </row>
    <row r="122" spans="1:17" x14ac:dyDescent="0.25">
      <c r="A122" s="1" t="s">
        <v>120</v>
      </c>
      <c r="B122" s="2">
        <v>768.95</v>
      </c>
      <c r="C122" s="2">
        <v>28.95</v>
      </c>
      <c r="D122" s="17">
        <v>3.9100000000000003E-2</v>
      </c>
      <c r="E122" s="4">
        <f t="shared" si="22"/>
        <v>653.88249999999994</v>
      </c>
      <c r="F122" s="4">
        <f t="shared" si="23"/>
        <v>71.176117141326671</v>
      </c>
      <c r="G122" s="4">
        <f t="shared" si="24"/>
        <v>796.23473428265333</v>
      </c>
      <c r="H122" s="4">
        <f t="shared" si="25"/>
        <v>511.53026571734659</v>
      </c>
      <c r="I122" s="4">
        <f t="shared" si="13"/>
        <v>736.46600000000001</v>
      </c>
      <c r="J122" s="4">
        <f t="shared" si="14"/>
        <v>713.86900000000003</v>
      </c>
      <c r="K122" s="4">
        <f t="shared" si="15"/>
        <v>653.88249999999994</v>
      </c>
      <c r="L122" s="4">
        <f t="shared" si="16"/>
        <v>539.90250000000003</v>
      </c>
      <c r="M122" s="11" t="str">
        <f t="shared" si="17"/>
        <v>進攻隊形，股票大漲</v>
      </c>
      <c r="N122" s="7" t="str">
        <f t="shared" si="18"/>
        <v/>
      </c>
      <c r="O122" s="21">
        <f t="shared" si="19"/>
        <v>100</v>
      </c>
      <c r="P122" s="4">
        <f t="shared" si="20"/>
        <v>99.748546184442858</v>
      </c>
      <c r="Q122" s="4">
        <f t="shared" si="21"/>
        <v>99.416247270385995</v>
      </c>
    </row>
    <row r="123" spans="1:17" x14ac:dyDescent="0.25">
      <c r="A123" s="1" t="s">
        <v>121</v>
      </c>
      <c r="B123" s="2">
        <v>740</v>
      </c>
      <c r="C123" s="2">
        <v>11.64</v>
      </c>
      <c r="D123" s="17">
        <v>1.6E-2</v>
      </c>
      <c r="E123" s="4">
        <f t="shared" si="22"/>
        <v>642.16750000000002</v>
      </c>
      <c r="F123" s="4">
        <f t="shared" si="23"/>
        <v>70.519048705034905</v>
      </c>
      <c r="G123" s="4">
        <f t="shared" si="24"/>
        <v>783.2055974100698</v>
      </c>
      <c r="H123" s="4">
        <f t="shared" si="25"/>
        <v>501.12940258993024</v>
      </c>
      <c r="I123" s="4">
        <f t="shared" si="13"/>
        <v>726.62800000000004</v>
      </c>
      <c r="J123" s="4">
        <f t="shared" si="14"/>
        <v>701.94400000000007</v>
      </c>
      <c r="K123" s="4">
        <f t="shared" si="15"/>
        <v>642.16750000000002</v>
      </c>
      <c r="L123" s="4">
        <f t="shared" si="16"/>
        <v>534.23550000000012</v>
      </c>
      <c r="M123" s="11" t="str">
        <f t="shared" si="17"/>
        <v>進攻隊形，股票大漲</v>
      </c>
      <c r="N123" s="7" t="str">
        <f t="shared" si="18"/>
        <v/>
      </c>
      <c r="O123" s="21">
        <f t="shared" si="19"/>
        <v>100</v>
      </c>
      <c r="P123" s="4">
        <f t="shared" si="20"/>
        <v>99.622819276664302</v>
      </c>
      <c r="Q123" s="4">
        <f t="shared" si="21"/>
        <v>99.25009781335757</v>
      </c>
    </row>
    <row r="124" spans="1:17" x14ac:dyDescent="0.25">
      <c r="A124" s="1" t="s">
        <v>122</v>
      </c>
      <c r="B124" s="2">
        <v>728.36</v>
      </c>
      <c r="C124" s="2">
        <v>6.27</v>
      </c>
      <c r="D124" s="17">
        <v>8.6999999999999994E-3</v>
      </c>
      <c r="E124" s="4">
        <f t="shared" si="22"/>
        <v>630.06299999999999</v>
      </c>
      <c r="F124" s="4">
        <f t="shared" si="23"/>
        <v>73.55429008920018</v>
      </c>
      <c r="G124" s="4">
        <f t="shared" si="24"/>
        <v>777.17158017840029</v>
      </c>
      <c r="H124" s="4">
        <f t="shared" si="25"/>
        <v>482.95441982159963</v>
      </c>
      <c r="I124" s="4">
        <f t="shared" si="13"/>
        <v>716.69800000000009</v>
      </c>
      <c r="J124" s="4">
        <f t="shared" si="14"/>
        <v>692.51200000000006</v>
      </c>
      <c r="K124" s="4">
        <f t="shared" si="15"/>
        <v>630.06299999999999</v>
      </c>
      <c r="L124" s="4">
        <f t="shared" si="16"/>
        <v>528.91183333333345</v>
      </c>
      <c r="M124" s="11" t="str">
        <f t="shared" si="17"/>
        <v>進攻隊形，股票大漲</v>
      </c>
      <c r="N124" s="7" t="str">
        <f t="shared" si="18"/>
        <v/>
      </c>
      <c r="O124" s="21">
        <f t="shared" si="19"/>
        <v>100</v>
      </c>
      <c r="P124" s="4">
        <f t="shared" si="20"/>
        <v>99.434228914996467</v>
      </c>
      <c r="Q124" s="4">
        <f t="shared" si="21"/>
        <v>99.063737081704232</v>
      </c>
    </row>
    <row r="125" spans="1:17" x14ac:dyDescent="0.25">
      <c r="A125" s="1" t="s">
        <v>123</v>
      </c>
      <c r="B125" s="2">
        <v>722.09</v>
      </c>
      <c r="C125" s="2">
        <v>-0.84</v>
      </c>
      <c r="D125" s="17">
        <v>-1.1999999999999999E-3</v>
      </c>
      <c r="E125" s="4">
        <f t="shared" si="22"/>
        <v>620.06399999999996</v>
      </c>
      <c r="F125" s="4">
        <f t="shared" si="23"/>
        <v>73.079614293338608</v>
      </c>
      <c r="G125" s="4">
        <f t="shared" si="24"/>
        <v>766.22322858667712</v>
      </c>
      <c r="H125" s="4">
        <f t="shared" si="25"/>
        <v>473.90477141332275</v>
      </c>
      <c r="I125" s="4">
        <f t="shared" si="13"/>
        <v>709.91799999999989</v>
      </c>
      <c r="J125" s="4">
        <f t="shared" si="14"/>
        <v>682.197</v>
      </c>
      <c r="K125" s="4">
        <f t="shared" si="15"/>
        <v>620.06399999999996</v>
      </c>
      <c r="L125" s="4">
        <f t="shared" si="16"/>
        <v>523.48816666666676</v>
      </c>
      <c r="M125" s="11" t="str">
        <f t="shared" si="17"/>
        <v>進攻隊形，股票大漲</v>
      </c>
      <c r="N125" s="7" t="str">
        <f t="shared" si="18"/>
        <v/>
      </c>
      <c r="O125" s="21">
        <f t="shared" si="19"/>
        <v>98.912621359223408</v>
      </c>
      <c r="P125" s="4">
        <f t="shared" si="20"/>
        <v>99.151343372494722</v>
      </c>
      <c r="Q125" s="4">
        <f t="shared" si="21"/>
        <v>98.878491165058122</v>
      </c>
    </row>
    <row r="126" spans="1:17" x14ac:dyDescent="0.25">
      <c r="A126" s="1" t="s">
        <v>124</v>
      </c>
      <c r="B126" s="2">
        <v>722.93</v>
      </c>
      <c r="C126" s="2">
        <v>3.17</v>
      </c>
      <c r="D126" s="17">
        <v>4.4000000000000003E-3</v>
      </c>
      <c r="E126" s="4">
        <f t="shared" si="22"/>
        <v>610.76900000000001</v>
      </c>
      <c r="F126" s="4">
        <f t="shared" si="23"/>
        <v>71.218556563211351</v>
      </c>
      <c r="G126" s="4">
        <f t="shared" si="24"/>
        <v>753.20611312642268</v>
      </c>
      <c r="H126" s="4">
        <f t="shared" si="25"/>
        <v>468.33188687357733</v>
      </c>
      <c r="I126" s="4">
        <f t="shared" si="13"/>
        <v>702.3</v>
      </c>
      <c r="J126" s="4">
        <f t="shared" si="14"/>
        <v>670.85299999999995</v>
      </c>
      <c r="K126" s="4">
        <f t="shared" si="15"/>
        <v>610.76900000000001</v>
      </c>
      <c r="L126" s="4">
        <f t="shared" si="16"/>
        <v>518.31100000000004</v>
      </c>
      <c r="M126" s="11" t="str">
        <f t="shared" si="17"/>
        <v>進攻隊形，股票大漲</v>
      </c>
      <c r="N126" s="7" t="str">
        <f t="shared" si="18"/>
        <v/>
      </c>
      <c r="O126" s="21">
        <f t="shared" si="19"/>
        <v>100</v>
      </c>
      <c r="P126" s="4">
        <f t="shared" si="20"/>
        <v>99.270704379130393</v>
      </c>
      <c r="Q126" s="4">
        <f t="shared" si="21"/>
        <v>98.742065061339844</v>
      </c>
    </row>
    <row r="127" spans="1:17" x14ac:dyDescent="0.25">
      <c r="A127" s="1" t="s">
        <v>125</v>
      </c>
      <c r="B127" s="2">
        <v>719.76</v>
      </c>
      <c r="C127" s="2">
        <v>29.41</v>
      </c>
      <c r="D127" s="17">
        <v>4.2599999999999999E-2</v>
      </c>
      <c r="E127" s="4">
        <f t="shared" si="22"/>
        <v>601.53200000000004</v>
      </c>
      <c r="F127" s="4">
        <f t="shared" si="23"/>
        <v>67.804188319631635</v>
      </c>
      <c r="G127" s="4">
        <f t="shared" si="24"/>
        <v>737.14037663926331</v>
      </c>
      <c r="H127" s="4">
        <f t="shared" si="25"/>
        <v>465.92362336073677</v>
      </c>
      <c r="I127" s="4">
        <f t="shared" si="13"/>
        <v>691.27200000000005</v>
      </c>
      <c r="J127" s="4">
        <f t="shared" si="14"/>
        <v>657.95</v>
      </c>
      <c r="K127" s="4">
        <f t="shared" si="15"/>
        <v>601.53200000000004</v>
      </c>
      <c r="L127" s="4">
        <f t="shared" si="16"/>
        <v>513.03283333333331</v>
      </c>
      <c r="M127" s="11" t="str">
        <f t="shared" si="17"/>
        <v>進攻隊形，股票大漲</v>
      </c>
      <c r="N127" s="7" t="str">
        <f t="shared" si="18"/>
        <v/>
      </c>
      <c r="O127" s="21">
        <f t="shared" si="19"/>
        <v>100</v>
      </c>
      <c r="P127" s="4">
        <f t="shared" si="20"/>
        <v>98.906056568695604</v>
      </c>
      <c r="Q127" s="4">
        <f t="shared" si="21"/>
        <v>98.477745402444583</v>
      </c>
    </row>
    <row r="128" spans="1:17" x14ac:dyDescent="0.25">
      <c r="A128" s="1" t="s">
        <v>126</v>
      </c>
      <c r="B128" s="2">
        <v>690.35</v>
      </c>
      <c r="C128" s="2">
        <v>-4.1100000000000003</v>
      </c>
      <c r="D128" s="17">
        <v>-5.8999999999999999E-3</v>
      </c>
      <c r="E128" s="4">
        <f t="shared" si="22"/>
        <v>592.28499999999997</v>
      </c>
      <c r="F128" s="4">
        <f t="shared" si="23"/>
        <v>63.292654392117555</v>
      </c>
      <c r="G128" s="4">
        <f t="shared" si="24"/>
        <v>718.87030878423502</v>
      </c>
      <c r="H128" s="4">
        <f t="shared" si="25"/>
        <v>465.69969121576486</v>
      </c>
      <c r="I128" s="4">
        <f t="shared" si="13"/>
        <v>677.26</v>
      </c>
      <c r="J128" s="4">
        <f t="shared" si="14"/>
        <v>645.92899999999997</v>
      </c>
      <c r="K128" s="4">
        <f t="shared" si="15"/>
        <v>592.28499999999997</v>
      </c>
      <c r="L128" s="4">
        <f t="shared" si="16"/>
        <v>507.93583333333328</v>
      </c>
      <c r="M128" s="11" t="str">
        <f t="shared" si="17"/>
        <v>進攻隊形，股票大漲</v>
      </c>
      <c r="N128" s="7" t="str">
        <f t="shared" si="18"/>
        <v/>
      </c>
      <c r="O128" s="21">
        <f t="shared" si="19"/>
        <v>95.912887828162283</v>
      </c>
      <c r="P128" s="4">
        <f t="shared" si="20"/>
        <v>98.359084853043413</v>
      </c>
      <c r="Q128" s="4">
        <f t="shared" si="21"/>
        <v>98.263589819319094</v>
      </c>
    </row>
    <row r="129" spans="1:17" x14ac:dyDescent="0.25">
      <c r="A129" s="1" t="s">
        <v>127</v>
      </c>
      <c r="B129" s="2">
        <v>694.46</v>
      </c>
      <c r="C129" s="2">
        <v>10.46</v>
      </c>
      <c r="D129" s="17">
        <v>1.5299999999999999E-2</v>
      </c>
      <c r="E129" s="4">
        <f t="shared" si="22"/>
        <v>583.26149999999984</v>
      </c>
      <c r="F129" s="4">
        <f t="shared" si="23"/>
        <v>61.412586852757549</v>
      </c>
      <c r="G129" s="4">
        <f t="shared" si="24"/>
        <v>706.08667370551495</v>
      </c>
      <c r="H129" s="4">
        <f t="shared" si="25"/>
        <v>460.43632629448473</v>
      </c>
      <c r="I129" s="4">
        <f t="shared" si="13"/>
        <v>668.32599999999991</v>
      </c>
      <c r="J129" s="4">
        <f t="shared" si="14"/>
        <v>635.50099999999998</v>
      </c>
      <c r="K129" s="4">
        <f t="shared" si="15"/>
        <v>583.26149999999984</v>
      </c>
      <c r="L129" s="4">
        <f t="shared" si="16"/>
        <v>503.24466666666666</v>
      </c>
      <c r="M129" s="11" t="str">
        <f t="shared" si="17"/>
        <v>進攻隊形，股票大漲</v>
      </c>
      <c r="N129" s="7" t="str">
        <f t="shared" si="18"/>
        <v/>
      </c>
      <c r="O129" s="21">
        <f t="shared" si="19"/>
        <v>100</v>
      </c>
      <c r="P129" s="4">
        <f t="shared" si="20"/>
        <v>99.582183365483985</v>
      </c>
      <c r="Q129" s="4">
        <f t="shared" si="21"/>
        <v>98.215842302456934</v>
      </c>
    </row>
    <row r="130" spans="1:17" x14ac:dyDescent="0.25">
      <c r="A130" s="1" t="s">
        <v>128</v>
      </c>
      <c r="B130" s="2">
        <v>684</v>
      </c>
      <c r="C130" s="2">
        <v>16.21</v>
      </c>
      <c r="D130" s="17">
        <v>2.4299999999999999E-2</v>
      </c>
      <c r="E130" s="4">
        <f t="shared" si="22"/>
        <v>574.62649999999996</v>
      </c>
      <c r="F130" s="4">
        <f t="shared" si="23"/>
        <v>56.932404173721658</v>
      </c>
      <c r="G130" s="4">
        <f t="shared" si="24"/>
        <v>688.49130834744324</v>
      </c>
      <c r="H130" s="4">
        <f t="shared" si="25"/>
        <v>460.76169165255664</v>
      </c>
      <c r="I130" s="4">
        <f t="shared" si="13"/>
        <v>654.476</v>
      </c>
      <c r="J130" s="4">
        <f t="shared" si="14"/>
        <v>623.404</v>
      </c>
      <c r="K130" s="4">
        <f t="shared" si="15"/>
        <v>574.62649999999996</v>
      </c>
      <c r="L130" s="4">
        <f t="shared" si="16"/>
        <v>498.60000000000008</v>
      </c>
      <c r="M130" s="11" t="str">
        <f t="shared" si="17"/>
        <v>進攻隊形，股票大漲</v>
      </c>
      <c r="N130" s="7" t="str">
        <f t="shared" si="18"/>
        <v/>
      </c>
      <c r="O130" s="21">
        <f t="shared" si="19"/>
        <v>100</v>
      </c>
      <c r="P130" s="4">
        <f t="shared" si="20"/>
        <v>99.373275048225992</v>
      </c>
      <c r="Q130" s="4">
        <f t="shared" si="21"/>
        <v>97.532671770943409</v>
      </c>
    </row>
    <row r="131" spans="1:17" x14ac:dyDescent="0.25">
      <c r="A131" s="1" t="s">
        <v>129</v>
      </c>
      <c r="B131" s="2">
        <v>667.79</v>
      </c>
      <c r="C131" s="2">
        <v>18.09</v>
      </c>
      <c r="D131" s="17">
        <v>2.7799999999999998E-2</v>
      </c>
      <c r="E131" s="4">
        <f t="shared" si="22"/>
        <v>567.33999999999992</v>
      </c>
      <c r="F131" s="4">
        <f t="shared" si="23"/>
        <v>51.238372339487903</v>
      </c>
      <c r="G131" s="4">
        <f t="shared" si="24"/>
        <v>669.81674467897574</v>
      </c>
      <c r="H131" s="4">
        <f t="shared" si="25"/>
        <v>464.8632553210241</v>
      </c>
      <c r="I131" s="4">
        <f t="shared" si="13"/>
        <v>639.40600000000006</v>
      </c>
      <c r="J131" s="4">
        <f t="shared" si="14"/>
        <v>608.66399999999999</v>
      </c>
      <c r="K131" s="4">
        <f t="shared" si="15"/>
        <v>567.33999999999992</v>
      </c>
      <c r="L131" s="4">
        <f t="shared" si="16"/>
        <v>493.97916666666674</v>
      </c>
      <c r="M131" s="11" t="str">
        <f t="shared" si="17"/>
        <v>進攻隊形，股票大漲</v>
      </c>
      <c r="N131" s="7" t="str">
        <f t="shared" si="18"/>
        <v/>
      </c>
      <c r="O131" s="21">
        <f t="shared" si="19"/>
        <v>100</v>
      </c>
      <c r="P131" s="4">
        <f t="shared" si="20"/>
        <v>99.059912572339002</v>
      </c>
      <c r="Q131" s="4">
        <f t="shared" si="21"/>
        <v>96.612370132302118</v>
      </c>
    </row>
    <row r="132" spans="1:17" x14ac:dyDescent="0.25">
      <c r="A132" s="1" t="s">
        <v>130</v>
      </c>
      <c r="B132" s="2">
        <v>649.70000000000005</v>
      </c>
      <c r="C132" s="2">
        <v>4.0199999999999996</v>
      </c>
      <c r="D132" s="17">
        <v>6.1999999999999998E-3</v>
      </c>
      <c r="E132" s="4">
        <f t="shared" si="22"/>
        <v>560.76800000000003</v>
      </c>
      <c r="F132" s="4">
        <f t="shared" si="23"/>
        <v>45.819094571678534</v>
      </c>
      <c r="G132" s="4">
        <f t="shared" si="24"/>
        <v>652.4061891433571</v>
      </c>
      <c r="H132" s="4">
        <f t="shared" si="25"/>
        <v>469.12981085664296</v>
      </c>
      <c r="I132" s="4">
        <f t="shared" si="13"/>
        <v>624.62800000000004</v>
      </c>
      <c r="J132" s="4">
        <f t="shared" si="14"/>
        <v>593.89599999999996</v>
      </c>
      <c r="K132" s="4">
        <f t="shared" si="15"/>
        <v>560.76800000000003</v>
      </c>
      <c r="L132" s="4">
        <f t="shared" si="16"/>
        <v>489.66250000000008</v>
      </c>
      <c r="M132" s="11" t="str">
        <f t="shared" si="17"/>
        <v>進攻隊形，股票大漲</v>
      </c>
      <c r="N132" s="7" t="str">
        <f t="shared" si="18"/>
        <v/>
      </c>
      <c r="O132" s="21">
        <f t="shared" si="19"/>
        <v>100</v>
      </c>
      <c r="P132" s="4">
        <f t="shared" si="20"/>
        <v>98.58986885850851</v>
      </c>
      <c r="Q132" s="4">
        <f t="shared" si="21"/>
        <v>95.388598912283683</v>
      </c>
    </row>
    <row r="133" spans="1:17" x14ac:dyDescent="0.25">
      <c r="A133" s="1" t="s">
        <v>131</v>
      </c>
      <c r="B133" s="2">
        <v>645.67999999999995</v>
      </c>
      <c r="C133" s="2">
        <v>20.47</v>
      </c>
      <c r="D133" s="17">
        <v>3.27E-2</v>
      </c>
      <c r="E133" s="4">
        <f t="shared" si="22"/>
        <v>554.76099999999997</v>
      </c>
      <c r="F133" s="4">
        <f t="shared" si="23"/>
        <v>41.187476878038389</v>
      </c>
      <c r="G133" s="4">
        <f t="shared" si="24"/>
        <v>637.13595375607679</v>
      </c>
      <c r="H133" s="4">
        <f t="shared" si="25"/>
        <v>472.3860462439232</v>
      </c>
      <c r="I133" s="4">
        <f t="shared" ref="I133:I196" si="26">AVERAGE(B133:B137)</f>
        <v>614.59799999999996</v>
      </c>
      <c r="J133" s="4">
        <f t="shared" ref="J133:J196" si="27">AVERAGE(B133:B142)</f>
        <v>582.39099999999996</v>
      </c>
      <c r="K133" s="4">
        <f t="shared" ref="K133:K196" si="28">AVERAGE(B133:B152)</f>
        <v>554.76099999999997</v>
      </c>
      <c r="L133" s="4">
        <f t="shared" ref="L133:L196" si="29">AVERAGE(B133:B192)</f>
        <v>485.60949999999997</v>
      </c>
      <c r="M133" s="11" t="str">
        <f t="shared" ref="M133:M196" si="30">IF(AND(I133&gt;J133, J133&gt;K133), "進攻隊形，股票大漲", IF(AND(I133&lt;J133, J133&lt;K133), "撤退隊形，股票跌慘", "打結隊形，忽上忽下看不懂"))</f>
        <v>進攻隊形，股票大漲</v>
      </c>
      <c r="N133" s="7" t="str">
        <f t="shared" ref="N133:N196" si="31">IF(AND(I133&gt;J133,I134&lt;=J134),"★黃金交叉(買訊)",IF(AND(I133&lt;J133,I134&gt;=J134),"▲死亡交叉(賣訊)",""))</f>
        <v/>
      </c>
      <c r="O133" s="21">
        <f t="shared" ref="O133:O196" si="32">(B133 - MIN(B133:B141)) / (MAX(B133:B141) - MIN(B133:B141)) * 100</f>
        <v>100</v>
      </c>
      <c r="P133" s="4">
        <f t="shared" ref="P133:P196" si="33">(1/3)*O133+(2/3)*P134</f>
        <v>97.884803287762779</v>
      </c>
      <c r="Q133" s="4">
        <f t="shared" ref="Q133:Q196" si="34">(1/3)*P133+(2/3)*Q134</f>
        <v>93.787963939171277</v>
      </c>
    </row>
    <row r="134" spans="1:17" x14ac:dyDescent="0.25">
      <c r="A134" s="1" t="s">
        <v>132</v>
      </c>
      <c r="B134" s="2">
        <v>625.21</v>
      </c>
      <c r="C134" s="2">
        <v>16.559999999999999</v>
      </c>
      <c r="D134" s="17">
        <v>2.7199999999999998E-2</v>
      </c>
      <c r="E134" s="4">
        <f t="shared" ref="E134:E197" si="35">AVERAGE(B134:B153)</f>
        <v>548.34249999999997</v>
      </c>
      <c r="F134" s="4">
        <f t="shared" ref="F134:F197" si="36">_xlfn.STDEV.S(B134:B153)</f>
        <v>35.941565715096935</v>
      </c>
      <c r="G134" s="4">
        <f t="shared" ref="G134:G197" si="37">E134+2*F134</f>
        <v>620.22563143019386</v>
      </c>
      <c r="H134" s="4">
        <f t="shared" ref="H134:H197" si="38">E134-2*F134</f>
        <v>476.45936856980609</v>
      </c>
      <c r="I134" s="4">
        <f t="shared" si="26"/>
        <v>602.67600000000016</v>
      </c>
      <c r="J134" s="4">
        <f t="shared" si="27"/>
        <v>567.61400000000003</v>
      </c>
      <c r="K134" s="4">
        <f t="shared" si="28"/>
        <v>548.34249999999997</v>
      </c>
      <c r="L134" s="4">
        <f t="shared" si="29"/>
        <v>481.6371666666667</v>
      </c>
      <c r="M134" s="11" t="str">
        <f t="shared" si="30"/>
        <v>進攻隊形，股票大漲</v>
      </c>
      <c r="N134" s="7" t="str">
        <f t="shared" si="31"/>
        <v/>
      </c>
      <c r="O134" s="21">
        <f t="shared" si="32"/>
        <v>100</v>
      </c>
      <c r="P134" s="4">
        <f t="shared" si="33"/>
        <v>96.827204931644189</v>
      </c>
      <c r="Q134" s="4">
        <f t="shared" si="34"/>
        <v>91.739544264875519</v>
      </c>
    </row>
    <row r="135" spans="1:17" x14ac:dyDescent="0.25">
      <c r="A135" s="1" t="s">
        <v>133</v>
      </c>
      <c r="B135" s="2">
        <v>608.65</v>
      </c>
      <c r="C135" s="2">
        <v>14.75</v>
      </c>
      <c r="D135" s="17">
        <v>2.4799999999999999E-2</v>
      </c>
      <c r="E135" s="4">
        <f t="shared" si="35"/>
        <v>542.22599999999989</v>
      </c>
      <c r="F135" s="4">
        <f t="shared" si="36"/>
        <v>32.407050629860088</v>
      </c>
      <c r="G135" s="4">
        <f t="shared" si="37"/>
        <v>607.04010125972002</v>
      </c>
      <c r="H135" s="4">
        <f t="shared" si="38"/>
        <v>477.4118987402797</v>
      </c>
      <c r="I135" s="4">
        <f t="shared" si="26"/>
        <v>592.33199999999999</v>
      </c>
      <c r="J135" s="4">
        <f t="shared" si="27"/>
        <v>557.93099999999993</v>
      </c>
      <c r="K135" s="4">
        <f t="shared" si="28"/>
        <v>542.22599999999989</v>
      </c>
      <c r="L135" s="4">
        <f t="shared" si="29"/>
        <v>478.06366666666668</v>
      </c>
      <c r="M135" s="11" t="str">
        <f t="shared" si="30"/>
        <v>進攻隊形，股票大漲</v>
      </c>
      <c r="N135" s="7" t="str">
        <f t="shared" si="31"/>
        <v/>
      </c>
      <c r="O135" s="21">
        <f t="shared" si="32"/>
        <v>100</v>
      </c>
      <c r="P135" s="4">
        <f t="shared" si="33"/>
        <v>95.240807397466298</v>
      </c>
      <c r="Q135" s="4">
        <f t="shared" si="34"/>
        <v>89.195713931491184</v>
      </c>
    </row>
    <row r="136" spans="1:17" x14ac:dyDescent="0.25">
      <c r="A136" s="1" t="s">
        <v>134</v>
      </c>
      <c r="B136" s="2">
        <v>593.9</v>
      </c>
      <c r="C136" s="2">
        <v>-5.65</v>
      </c>
      <c r="D136" s="17">
        <v>-9.4000000000000004E-3</v>
      </c>
      <c r="E136" s="4">
        <f t="shared" si="35"/>
        <v>536.93849999999998</v>
      </c>
      <c r="F136" s="4">
        <f t="shared" si="36"/>
        <v>29.495186989173604</v>
      </c>
      <c r="G136" s="4">
        <f t="shared" si="37"/>
        <v>595.92887397834716</v>
      </c>
      <c r="H136" s="4">
        <f t="shared" si="38"/>
        <v>477.9481260216528</v>
      </c>
      <c r="I136" s="4">
        <f t="shared" si="26"/>
        <v>577.92200000000003</v>
      </c>
      <c r="J136" s="4">
        <f t="shared" si="27"/>
        <v>550.68500000000006</v>
      </c>
      <c r="K136" s="4">
        <f t="shared" si="28"/>
        <v>536.93849999999998</v>
      </c>
      <c r="L136" s="4">
        <f t="shared" si="29"/>
        <v>474.94900000000001</v>
      </c>
      <c r="M136" s="11" t="str">
        <f t="shared" si="30"/>
        <v>進攻隊形，股票大漲</v>
      </c>
      <c r="N136" s="7" t="str">
        <f t="shared" si="31"/>
        <v/>
      </c>
      <c r="O136" s="21">
        <f t="shared" si="32"/>
        <v>94.441164895710372</v>
      </c>
      <c r="P136" s="4">
        <f t="shared" si="33"/>
        <v>92.861211096199455</v>
      </c>
      <c r="Q136" s="4">
        <f t="shared" si="34"/>
        <v>86.173167198503634</v>
      </c>
    </row>
    <row r="137" spans="1:17" x14ac:dyDescent="0.25">
      <c r="A137" s="1" t="s">
        <v>135</v>
      </c>
      <c r="B137" s="2">
        <v>599.54999999999995</v>
      </c>
      <c r="C137" s="2">
        <v>13.48</v>
      </c>
      <c r="D137" s="17">
        <v>2.3E-2</v>
      </c>
      <c r="E137" s="4">
        <f t="shared" si="35"/>
        <v>532.43949999999995</v>
      </c>
      <c r="F137" s="4">
        <f t="shared" si="36"/>
        <v>27.115876001261505</v>
      </c>
      <c r="G137" s="4">
        <f t="shared" si="37"/>
        <v>586.67125200252292</v>
      </c>
      <c r="H137" s="4">
        <f t="shared" si="38"/>
        <v>478.20774799747693</v>
      </c>
      <c r="I137" s="4">
        <f t="shared" si="26"/>
        <v>563.16399999999999</v>
      </c>
      <c r="J137" s="4">
        <f t="shared" si="27"/>
        <v>545.11400000000015</v>
      </c>
      <c r="K137" s="4">
        <f t="shared" si="28"/>
        <v>532.43949999999995</v>
      </c>
      <c r="L137" s="4">
        <f t="shared" si="29"/>
        <v>471.94683333333336</v>
      </c>
      <c r="M137" s="11" t="str">
        <f t="shared" si="30"/>
        <v>進攻隊形，股票大漲</v>
      </c>
      <c r="N137" s="7" t="str">
        <f t="shared" si="31"/>
        <v/>
      </c>
      <c r="O137" s="21">
        <f t="shared" si="32"/>
        <v>100</v>
      </c>
      <c r="P137" s="4">
        <f t="shared" si="33"/>
        <v>92.071234196443996</v>
      </c>
      <c r="Q137" s="4">
        <f t="shared" si="34"/>
        <v>82.829145249655724</v>
      </c>
    </row>
    <row r="138" spans="1:17" x14ac:dyDescent="0.25">
      <c r="A138" s="1" t="s">
        <v>136</v>
      </c>
      <c r="B138" s="2">
        <v>586.07000000000005</v>
      </c>
      <c r="C138" s="2">
        <v>12.58</v>
      </c>
      <c r="D138" s="17">
        <v>2.1899999999999999E-2</v>
      </c>
      <c r="E138" s="4">
        <f t="shared" si="35"/>
        <v>527.44149999999991</v>
      </c>
      <c r="F138" s="4">
        <f t="shared" si="36"/>
        <v>22.994065887803146</v>
      </c>
      <c r="G138" s="4">
        <f t="shared" si="37"/>
        <v>573.42963177560614</v>
      </c>
      <c r="H138" s="4">
        <f t="shared" si="38"/>
        <v>481.45336822439361</v>
      </c>
      <c r="I138" s="4">
        <f t="shared" si="26"/>
        <v>550.18399999999997</v>
      </c>
      <c r="J138" s="4">
        <f t="shared" si="27"/>
        <v>538.64099999999996</v>
      </c>
      <c r="K138" s="4">
        <f t="shared" si="28"/>
        <v>527.44149999999991</v>
      </c>
      <c r="L138" s="4">
        <f t="shared" si="29"/>
        <v>468.80683333333337</v>
      </c>
      <c r="M138" s="11" t="str">
        <f t="shared" si="30"/>
        <v>進攻隊形，股票大漲</v>
      </c>
      <c r="N138" s="7" t="str">
        <f t="shared" si="31"/>
        <v/>
      </c>
      <c r="O138" s="21">
        <f t="shared" si="32"/>
        <v>100</v>
      </c>
      <c r="P138" s="4">
        <f t="shared" si="33"/>
        <v>88.106851294666001</v>
      </c>
      <c r="Q138" s="4">
        <f t="shared" si="34"/>
        <v>78.208100776261603</v>
      </c>
    </row>
    <row r="139" spans="1:17" x14ac:dyDescent="0.25">
      <c r="A139" s="1" t="s">
        <v>137</v>
      </c>
      <c r="B139" s="2">
        <v>573.49</v>
      </c>
      <c r="C139" s="2">
        <v>36.89</v>
      </c>
      <c r="D139" s="17">
        <v>6.8699999999999997E-2</v>
      </c>
      <c r="E139" s="4">
        <f t="shared" si="35"/>
        <v>521.70999999999992</v>
      </c>
      <c r="F139" s="4">
        <f t="shared" si="36"/>
        <v>21.870046085673298</v>
      </c>
      <c r="G139" s="4">
        <f t="shared" si="37"/>
        <v>565.45009217134657</v>
      </c>
      <c r="H139" s="4">
        <f t="shared" si="38"/>
        <v>477.96990782865333</v>
      </c>
      <c r="I139" s="4">
        <f t="shared" si="26"/>
        <v>532.55200000000002</v>
      </c>
      <c r="J139" s="4">
        <f t="shared" si="27"/>
        <v>531.02200000000005</v>
      </c>
      <c r="K139" s="4">
        <f t="shared" si="28"/>
        <v>521.70999999999992</v>
      </c>
      <c r="L139" s="4">
        <f t="shared" si="29"/>
        <v>466.81932203389835</v>
      </c>
      <c r="M139" s="11" t="str">
        <f t="shared" si="30"/>
        <v>進攻隊形，股票大漲</v>
      </c>
      <c r="N139" s="7" t="str">
        <f t="shared" si="31"/>
        <v>★黃金交叉(買訊)</v>
      </c>
      <c r="O139" s="21">
        <f t="shared" si="32"/>
        <v>100</v>
      </c>
      <c r="P139" s="4">
        <f t="shared" si="33"/>
        <v>82.160276941999001</v>
      </c>
      <c r="Q139" s="4">
        <f t="shared" si="34"/>
        <v>73.258725517059418</v>
      </c>
    </row>
    <row r="140" spans="1:17" x14ac:dyDescent="0.25">
      <c r="A140" s="1" t="s">
        <v>138</v>
      </c>
      <c r="B140" s="2">
        <v>536.6</v>
      </c>
      <c r="C140" s="2">
        <v>16.489999999999998</v>
      </c>
      <c r="D140" s="17">
        <v>3.1699999999999999E-2</v>
      </c>
      <c r="E140" s="4">
        <f t="shared" si="35"/>
        <v>515.56550000000004</v>
      </c>
      <c r="F140" s="4">
        <f t="shared" si="36"/>
        <v>23.739868193444238</v>
      </c>
      <c r="G140" s="4">
        <f t="shared" si="37"/>
        <v>563.04523638688852</v>
      </c>
      <c r="H140" s="4">
        <f t="shared" si="38"/>
        <v>468.08576361311157</v>
      </c>
      <c r="I140" s="4">
        <f t="shared" si="26"/>
        <v>523.53</v>
      </c>
      <c r="J140" s="4">
        <f t="shared" si="27"/>
        <v>525.84900000000005</v>
      </c>
      <c r="K140" s="4">
        <f t="shared" si="28"/>
        <v>515.56550000000004</v>
      </c>
      <c r="L140" s="4">
        <f t="shared" si="29"/>
        <v>464.98017241379318</v>
      </c>
      <c r="M140" s="11" t="str">
        <f t="shared" si="30"/>
        <v>打結隊形，忽上忽下看不懂</v>
      </c>
      <c r="N140" s="7" t="str">
        <f t="shared" si="31"/>
        <v/>
      </c>
      <c r="O140" s="21">
        <f t="shared" si="32"/>
        <v>96.052631578947285</v>
      </c>
      <c r="P140" s="4">
        <f t="shared" si="33"/>
        <v>73.240415412998516</v>
      </c>
      <c r="Q140" s="4">
        <f t="shared" si="34"/>
        <v>68.80794980458964</v>
      </c>
    </row>
    <row r="141" spans="1:17" x14ac:dyDescent="0.25">
      <c r="A141" s="1" t="s">
        <v>139</v>
      </c>
      <c r="B141" s="2">
        <v>520.11</v>
      </c>
      <c r="C141" s="2">
        <v>-14.54</v>
      </c>
      <c r="D141" s="17">
        <v>-2.7199999999999998E-2</v>
      </c>
      <c r="E141" s="4">
        <f t="shared" si="35"/>
        <v>513.06949999999995</v>
      </c>
      <c r="F141" s="4">
        <f t="shared" si="36"/>
        <v>24.034369135403622</v>
      </c>
      <c r="G141" s="4">
        <f t="shared" si="37"/>
        <v>561.13823827080716</v>
      </c>
      <c r="H141" s="4">
        <f t="shared" si="38"/>
        <v>465.00076172919273</v>
      </c>
      <c r="I141" s="4">
        <f t="shared" si="26"/>
        <v>523.44800000000009</v>
      </c>
      <c r="J141" s="4">
        <f t="shared" si="27"/>
        <v>526.01599999999996</v>
      </c>
      <c r="K141" s="4">
        <f t="shared" si="28"/>
        <v>513.06949999999995</v>
      </c>
      <c r="L141" s="4">
        <f t="shared" si="29"/>
        <v>463.72368421052636</v>
      </c>
      <c r="M141" s="11" t="str">
        <f t="shared" si="30"/>
        <v>打結隊形，忽上忽下看不懂</v>
      </c>
      <c r="N141" s="7" t="str">
        <f t="shared" si="31"/>
        <v/>
      </c>
      <c r="O141" s="21">
        <f t="shared" si="32"/>
        <v>55.114200595829118</v>
      </c>
      <c r="P141" s="4">
        <f t="shared" si="33"/>
        <v>61.834307330024131</v>
      </c>
      <c r="Q141" s="4">
        <f t="shared" si="34"/>
        <v>66.591717000385216</v>
      </c>
    </row>
    <row r="142" spans="1:17" x14ac:dyDescent="0.25">
      <c r="A142" s="1" t="s">
        <v>140</v>
      </c>
      <c r="B142" s="2">
        <v>534.65</v>
      </c>
      <c r="C142" s="2">
        <v>36.74</v>
      </c>
      <c r="D142" s="17">
        <v>7.3800000000000004E-2</v>
      </c>
      <c r="E142" s="4">
        <f t="shared" si="35"/>
        <v>510.97149999999999</v>
      </c>
      <c r="F142" s="4">
        <f t="shared" si="36"/>
        <v>25.190994480066422</v>
      </c>
      <c r="G142" s="4">
        <f t="shared" si="37"/>
        <v>561.35348896013284</v>
      </c>
      <c r="H142" s="4">
        <f t="shared" si="38"/>
        <v>460.58951103986715</v>
      </c>
      <c r="I142" s="4">
        <f t="shared" si="26"/>
        <v>527.06400000000008</v>
      </c>
      <c r="J142" s="4">
        <f t="shared" si="27"/>
        <v>527.6400000000001</v>
      </c>
      <c r="K142" s="4">
        <f t="shared" si="28"/>
        <v>510.97149999999999</v>
      </c>
      <c r="L142" s="4">
        <f t="shared" si="29"/>
        <v>462.71678571428578</v>
      </c>
      <c r="M142" s="11" t="str">
        <f t="shared" si="30"/>
        <v>打結隊形，忽上忽下看不懂</v>
      </c>
      <c r="N142" s="7" t="str">
        <f t="shared" si="31"/>
        <v/>
      </c>
      <c r="O142" s="21">
        <f t="shared" si="32"/>
        <v>91.030723488602561</v>
      </c>
      <c r="P142" s="4">
        <f t="shared" si="33"/>
        <v>65.194360697121638</v>
      </c>
      <c r="Q142" s="4">
        <f t="shared" si="34"/>
        <v>68.970421835565759</v>
      </c>
    </row>
    <row r="143" spans="1:17" x14ac:dyDescent="0.25">
      <c r="A143" s="1" t="s">
        <v>141</v>
      </c>
      <c r="B143" s="2">
        <v>497.91</v>
      </c>
      <c r="C143" s="2">
        <v>-30.47</v>
      </c>
      <c r="D143" s="17">
        <v>-5.7700000000000001E-2</v>
      </c>
      <c r="E143" s="4">
        <f t="shared" si="35"/>
        <v>506.95449999999994</v>
      </c>
      <c r="F143" s="4">
        <f t="shared" si="36"/>
        <v>27.514844122859632</v>
      </c>
      <c r="G143" s="4">
        <f t="shared" si="37"/>
        <v>561.98418824571922</v>
      </c>
      <c r="H143" s="4">
        <f t="shared" si="38"/>
        <v>451.92481175428065</v>
      </c>
      <c r="I143" s="4">
        <f t="shared" si="26"/>
        <v>527.09800000000007</v>
      </c>
      <c r="J143" s="4">
        <f t="shared" si="27"/>
        <v>527.13099999999997</v>
      </c>
      <c r="K143" s="4">
        <f t="shared" si="28"/>
        <v>506.95449999999994</v>
      </c>
      <c r="L143" s="4">
        <f t="shared" si="29"/>
        <v>461.40890909090911</v>
      </c>
      <c r="M143" s="11" t="str">
        <f t="shared" si="30"/>
        <v>打結隊形，忽上忽下看不懂</v>
      </c>
      <c r="N143" s="7" t="str">
        <f t="shared" si="31"/>
        <v>▲死亡交叉(賣訊)</v>
      </c>
      <c r="O143" s="21">
        <f t="shared" si="32"/>
        <v>0</v>
      </c>
      <c r="P143" s="4">
        <f t="shared" si="33"/>
        <v>52.276179301381184</v>
      </c>
      <c r="Q143" s="4">
        <f t="shared" si="34"/>
        <v>70.858452404787812</v>
      </c>
    </row>
    <row r="144" spans="1:17" x14ac:dyDescent="0.25">
      <c r="A144" s="1" t="s">
        <v>142</v>
      </c>
      <c r="B144" s="2">
        <v>528.38</v>
      </c>
      <c r="C144" s="2">
        <v>-7.81</v>
      </c>
      <c r="D144" s="17">
        <v>-1.46E-2</v>
      </c>
      <c r="E144" s="4">
        <f t="shared" si="35"/>
        <v>506.12349999999998</v>
      </c>
      <c r="F144" s="4">
        <f t="shared" si="36"/>
        <v>28.048190348792655</v>
      </c>
      <c r="G144" s="4">
        <f t="shared" si="37"/>
        <v>562.21988069758527</v>
      </c>
      <c r="H144" s="4">
        <f t="shared" si="38"/>
        <v>450.02711930241469</v>
      </c>
      <c r="I144" s="4">
        <f t="shared" si="26"/>
        <v>529.49200000000008</v>
      </c>
      <c r="J144" s="4">
        <f t="shared" si="27"/>
        <v>529.07099999999991</v>
      </c>
      <c r="K144" s="4">
        <f t="shared" si="28"/>
        <v>506.12349999999998</v>
      </c>
      <c r="L144" s="4">
        <f t="shared" si="29"/>
        <v>460.73296296296297</v>
      </c>
      <c r="M144" s="11" t="str">
        <f t="shared" si="30"/>
        <v>進攻隊形，股票大漲</v>
      </c>
      <c r="N144" s="7" t="str">
        <f t="shared" si="31"/>
        <v/>
      </c>
      <c r="O144" s="21">
        <f t="shared" si="32"/>
        <v>65.163790066925003</v>
      </c>
      <c r="P144" s="4">
        <f t="shared" si="33"/>
        <v>78.414268952071779</v>
      </c>
      <c r="Q144" s="4">
        <f t="shared" si="34"/>
        <v>80.149588956491129</v>
      </c>
    </row>
    <row r="145" spans="1:17" x14ac:dyDescent="0.25">
      <c r="A145" s="1" t="s">
        <v>143</v>
      </c>
      <c r="B145" s="2">
        <v>536.19000000000005</v>
      </c>
      <c r="C145" s="2">
        <v>-2</v>
      </c>
      <c r="D145" s="17">
        <v>-3.7000000000000002E-3</v>
      </c>
      <c r="E145" s="4">
        <f t="shared" si="35"/>
        <v>504.07900000000001</v>
      </c>
      <c r="F145" s="4">
        <f t="shared" si="36"/>
        <v>27.829910622622524</v>
      </c>
      <c r="G145" s="4">
        <f t="shared" si="37"/>
        <v>559.73882124524505</v>
      </c>
      <c r="H145" s="4">
        <f t="shared" si="38"/>
        <v>448.41917875475497</v>
      </c>
      <c r="I145" s="4">
        <f t="shared" si="26"/>
        <v>528.16800000000001</v>
      </c>
      <c r="J145" s="4">
        <f t="shared" si="27"/>
        <v>526.52099999999996</v>
      </c>
      <c r="K145" s="4">
        <f t="shared" si="28"/>
        <v>504.07900000000001</v>
      </c>
      <c r="L145" s="4">
        <f t="shared" si="29"/>
        <v>459.4566037735849</v>
      </c>
      <c r="M145" s="11" t="str">
        <f t="shared" si="30"/>
        <v>進攻隊形，股票大漲</v>
      </c>
      <c r="N145" s="7" t="str">
        <f t="shared" si="31"/>
        <v/>
      </c>
      <c r="O145" s="21">
        <f t="shared" si="32"/>
        <v>92.673476576259489</v>
      </c>
      <c r="P145" s="4">
        <f t="shared" si="33"/>
        <v>85.039508394645168</v>
      </c>
      <c r="Q145" s="4">
        <f t="shared" si="34"/>
        <v>81.017248958700804</v>
      </c>
    </row>
    <row r="146" spans="1:17" x14ac:dyDescent="0.25">
      <c r="A146" s="1" t="s">
        <v>144</v>
      </c>
      <c r="B146" s="2">
        <v>538.19000000000005</v>
      </c>
      <c r="C146" s="2">
        <v>3.37</v>
      </c>
      <c r="D146" s="17">
        <v>6.3E-3</v>
      </c>
      <c r="E146" s="4">
        <f t="shared" si="35"/>
        <v>501.79600000000011</v>
      </c>
      <c r="F146" s="4">
        <f t="shared" si="36"/>
        <v>26.914867618982793</v>
      </c>
      <c r="G146" s="4">
        <f t="shared" si="37"/>
        <v>555.62573523796573</v>
      </c>
      <c r="H146" s="4">
        <f t="shared" si="38"/>
        <v>447.96626476203454</v>
      </c>
      <c r="I146" s="4">
        <f t="shared" si="26"/>
        <v>528.58400000000006</v>
      </c>
      <c r="J146" s="4">
        <f t="shared" si="27"/>
        <v>523.19200000000001</v>
      </c>
      <c r="K146" s="4">
        <f t="shared" si="28"/>
        <v>501.79600000000011</v>
      </c>
      <c r="L146" s="4">
        <f t="shared" si="29"/>
        <v>457.98096153846166</v>
      </c>
      <c r="M146" s="11" t="str">
        <f t="shared" si="30"/>
        <v>進攻隊形，股票大漲</v>
      </c>
      <c r="N146" s="7" t="str">
        <f t="shared" si="31"/>
        <v/>
      </c>
      <c r="O146" s="21">
        <f t="shared" si="32"/>
        <v>99.773947442780653</v>
      </c>
      <c r="P146" s="4">
        <f t="shared" si="33"/>
        <v>81.222524303838014</v>
      </c>
      <c r="Q146" s="4">
        <f t="shared" si="34"/>
        <v>79.006119240728637</v>
      </c>
    </row>
    <row r="147" spans="1:17" x14ac:dyDescent="0.25">
      <c r="A147" s="1" t="s">
        <v>145</v>
      </c>
      <c r="B147" s="2">
        <v>534.82000000000005</v>
      </c>
      <c r="C147" s="2">
        <v>24.94</v>
      </c>
      <c r="D147" s="17">
        <v>4.8899999999999999E-2</v>
      </c>
      <c r="E147" s="4">
        <f t="shared" si="35"/>
        <v>499.1785000000001</v>
      </c>
      <c r="F147" s="4">
        <f t="shared" si="36"/>
        <v>25.707705638787104</v>
      </c>
      <c r="G147" s="4">
        <f t="shared" si="37"/>
        <v>550.59391127757431</v>
      </c>
      <c r="H147" s="4">
        <f t="shared" si="38"/>
        <v>447.76308872242589</v>
      </c>
      <c r="I147" s="4">
        <f t="shared" si="26"/>
        <v>528.21600000000001</v>
      </c>
      <c r="J147" s="4">
        <f t="shared" si="27"/>
        <v>519.76499999999999</v>
      </c>
      <c r="K147" s="4">
        <f t="shared" si="28"/>
        <v>499.1785000000001</v>
      </c>
      <c r="L147" s="4">
        <f t="shared" si="29"/>
        <v>456.40823529411773</v>
      </c>
      <c r="M147" s="11" t="str">
        <f t="shared" si="30"/>
        <v>進攻隊形，股票大漲</v>
      </c>
      <c r="N147" s="7" t="str">
        <f t="shared" si="31"/>
        <v/>
      </c>
      <c r="O147" s="21">
        <f t="shared" si="32"/>
        <v>90.251483469906944</v>
      </c>
      <c r="P147" s="4">
        <f t="shared" si="33"/>
        <v>71.946812734366702</v>
      </c>
      <c r="Q147" s="4">
        <f t="shared" si="34"/>
        <v>77.897916709173955</v>
      </c>
    </row>
    <row r="148" spans="1:17" x14ac:dyDescent="0.25">
      <c r="A148" s="1" t="s">
        <v>146</v>
      </c>
      <c r="B148" s="2">
        <v>509.88</v>
      </c>
      <c r="C148" s="2">
        <v>-11.88</v>
      </c>
      <c r="D148" s="17">
        <v>-2.2800000000000001E-2</v>
      </c>
      <c r="E148" s="4">
        <f t="shared" si="35"/>
        <v>495.96600000000007</v>
      </c>
      <c r="F148" s="4">
        <f t="shared" si="36"/>
        <v>25.024790950280941</v>
      </c>
      <c r="G148" s="4">
        <f t="shared" si="37"/>
        <v>546.01558190056198</v>
      </c>
      <c r="H148" s="4">
        <f t="shared" si="38"/>
        <v>445.9164180994382</v>
      </c>
      <c r="I148" s="4">
        <f t="shared" si="26"/>
        <v>527.16399999999999</v>
      </c>
      <c r="J148" s="4">
        <f t="shared" si="27"/>
        <v>516.24199999999996</v>
      </c>
      <c r="K148" s="4">
        <f t="shared" si="28"/>
        <v>495.96600000000007</v>
      </c>
      <c r="L148" s="4">
        <f t="shared" si="29"/>
        <v>454.84000000000009</v>
      </c>
      <c r="M148" s="11" t="str">
        <f t="shared" si="30"/>
        <v>進攻隊形，股票大漲</v>
      </c>
      <c r="N148" s="7" t="str">
        <f t="shared" si="31"/>
        <v/>
      </c>
      <c r="O148" s="21">
        <f t="shared" si="32"/>
        <v>19.779598756710943</v>
      </c>
      <c r="P148" s="4">
        <f t="shared" si="33"/>
        <v>62.794477366596581</v>
      </c>
      <c r="Q148" s="4">
        <f t="shared" si="34"/>
        <v>80.873468696577589</v>
      </c>
    </row>
    <row r="149" spans="1:17" x14ac:dyDescent="0.25">
      <c r="A149" s="1" t="s">
        <v>147</v>
      </c>
      <c r="B149" s="2">
        <v>521.76</v>
      </c>
      <c r="C149" s="2">
        <v>-16.510000000000002</v>
      </c>
      <c r="D149" s="17">
        <v>-3.0700000000000002E-2</v>
      </c>
      <c r="E149" s="4">
        <f t="shared" si="35"/>
        <v>493.49099999999999</v>
      </c>
      <c r="F149" s="4">
        <f t="shared" si="36"/>
        <v>26.004872600098775</v>
      </c>
      <c r="G149" s="4">
        <f t="shared" si="37"/>
        <v>545.50074520019757</v>
      </c>
      <c r="H149" s="4">
        <f t="shared" si="38"/>
        <v>441.48125479980246</v>
      </c>
      <c r="I149" s="4">
        <f t="shared" si="26"/>
        <v>528.65</v>
      </c>
      <c r="J149" s="4">
        <f t="shared" si="27"/>
        <v>512.39799999999991</v>
      </c>
      <c r="K149" s="4">
        <f t="shared" si="28"/>
        <v>493.49099999999999</v>
      </c>
      <c r="L149" s="4">
        <f t="shared" si="29"/>
        <v>453.71673469387758</v>
      </c>
      <c r="M149" s="11" t="str">
        <f t="shared" si="30"/>
        <v>進攻隊形，股票大漲</v>
      </c>
      <c r="N149" s="7" t="str">
        <f t="shared" si="31"/>
        <v/>
      </c>
      <c r="O149" s="21">
        <f t="shared" si="32"/>
        <v>57.316442605997963</v>
      </c>
      <c r="P149" s="4">
        <f t="shared" si="33"/>
        <v>84.301916671539402</v>
      </c>
      <c r="Q149" s="4">
        <f t="shared" si="34"/>
        <v>89.9129643615681</v>
      </c>
    </row>
    <row r="150" spans="1:17" x14ac:dyDescent="0.25">
      <c r="A150" s="1" t="s">
        <v>148</v>
      </c>
      <c r="B150" s="2">
        <v>538.27</v>
      </c>
      <c r="C150" s="2">
        <v>1.92</v>
      </c>
      <c r="D150" s="17">
        <v>3.5999999999999999E-3</v>
      </c>
      <c r="E150" s="4">
        <f t="shared" si="35"/>
        <v>490.62249999999983</v>
      </c>
      <c r="F150" s="4">
        <f t="shared" si="36"/>
        <v>25.886371719294175</v>
      </c>
      <c r="G150" s="4">
        <f t="shared" si="37"/>
        <v>542.39524343858818</v>
      </c>
      <c r="H150" s="4">
        <f t="shared" si="38"/>
        <v>438.84975656141148</v>
      </c>
      <c r="I150" s="4">
        <f t="shared" si="26"/>
        <v>524.87400000000002</v>
      </c>
      <c r="J150" s="4">
        <f t="shared" si="27"/>
        <v>505.28199999999998</v>
      </c>
      <c r="K150" s="4">
        <f t="shared" si="28"/>
        <v>490.62249999999983</v>
      </c>
      <c r="L150" s="4">
        <f t="shared" si="29"/>
        <v>452.29916666666668</v>
      </c>
      <c r="M150" s="11" t="str">
        <f t="shared" si="30"/>
        <v>進攻隊形，股票大漲</v>
      </c>
      <c r="N150" s="7" t="str">
        <f t="shared" si="31"/>
        <v/>
      </c>
      <c r="O150" s="21">
        <f t="shared" si="32"/>
        <v>100</v>
      </c>
      <c r="P150" s="4">
        <f t="shared" si="33"/>
        <v>97.794653704310122</v>
      </c>
      <c r="Q150" s="4">
        <f t="shared" si="34"/>
        <v>92.71848820658245</v>
      </c>
    </row>
    <row r="151" spans="1:17" x14ac:dyDescent="0.25">
      <c r="A151" s="1" t="s">
        <v>149</v>
      </c>
      <c r="B151" s="2">
        <v>536.35</v>
      </c>
      <c r="C151" s="2">
        <v>6.79</v>
      </c>
      <c r="D151" s="17">
        <v>1.2800000000000001E-2</v>
      </c>
      <c r="E151" s="4">
        <f t="shared" si="35"/>
        <v>486.75249999999994</v>
      </c>
      <c r="F151" s="4">
        <f t="shared" si="36"/>
        <v>24.113077446633973</v>
      </c>
      <c r="G151" s="4">
        <f t="shared" si="37"/>
        <v>534.97865489326784</v>
      </c>
      <c r="H151" s="4">
        <f t="shared" si="38"/>
        <v>438.52634510673198</v>
      </c>
      <c r="I151" s="4">
        <f t="shared" si="26"/>
        <v>517.79999999999995</v>
      </c>
      <c r="J151" s="4">
        <f t="shared" si="27"/>
        <v>500.12300000000005</v>
      </c>
      <c r="K151" s="4">
        <f t="shared" si="28"/>
        <v>486.75249999999994</v>
      </c>
      <c r="L151" s="4">
        <f t="shared" si="29"/>
        <v>450.47</v>
      </c>
      <c r="M151" s="11" t="str">
        <f t="shared" si="30"/>
        <v>進攻隊形，股票大漲</v>
      </c>
      <c r="N151" s="7" t="str">
        <f t="shared" si="31"/>
        <v/>
      </c>
      <c r="O151" s="21">
        <f t="shared" si="32"/>
        <v>100</v>
      </c>
      <c r="P151" s="4">
        <f t="shared" si="33"/>
        <v>96.691980556465197</v>
      </c>
      <c r="Q151" s="4">
        <f t="shared" si="34"/>
        <v>90.180405457718621</v>
      </c>
    </row>
    <row r="152" spans="1:17" x14ac:dyDescent="0.25">
      <c r="A152" s="1" t="s">
        <v>150</v>
      </c>
      <c r="B152" s="2">
        <v>529.55999999999995</v>
      </c>
      <c r="C152" s="2">
        <v>12.25</v>
      </c>
      <c r="D152" s="17">
        <v>2.3699999999999999E-2</v>
      </c>
      <c r="E152" s="4">
        <f t="shared" si="35"/>
        <v>482.42249999999996</v>
      </c>
      <c r="F152" s="4">
        <f t="shared" si="36"/>
        <v>22.456583344897222</v>
      </c>
      <c r="G152" s="4">
        <f t="shared" si="37"/>
        <v>527.33566668979438</v>
      </c>
      <c r="H152" s="4">
        <f t="shared" si="38"/>
        <v>437.50933331020553</v>
      </c>
      <c r="I152" s="4">
        <f t="shared" si="26"/>
        <v>511.31400000000002</v>
      </c>
      <c r="J152" s="4">
        <f t="shared" si="27"/>
        <v>494.303</v>
      </c>
      <c r="K152" s="4">
        <f t="shared" si="28"/>
        <v>482.42249999999996</v>
      </c>
      <c r="L152" s="4">
        <f t="shared" si="29"/>
        <v>448.60304347826093</v>
      </c>
      <c r="M152" s="11" t="str">
        <f t="shared" si="30"/>
        <v>進攻隊形，股票大漲</v>
      </c>
      <c r="N152" s="7" t="str">
        <f t="shared" si="31"/>
        <v/>
      </c>
      <c r="O152" s="21">
        <f t="shared" si="32"/>
        <v>100</v>
      </c>
      <c r="P152" s="4">
        <f t="shared" si="33"/>
        <v>95.037970834697802</v>
      </c>
      <c r="Q152" s="4">
        <f t="shared" si="34"/>
        <v>86.92461790834534</v>
      </c>
    </row>
    <row r="153" spans="1:17" x14ac:dyDescent="0.25">
      <c r="A153" s="1" t="s">
        <v>151</v>
      </c>
      <c r="B153" s="2">
        <v>517.30999999999995</v>
      </c>
      <c r="C153" s="2">
        <v>14.43</v>
      </c>
      <c r="D153" s="17">
        <v>2.87E-2</v>
      </c>
      <c r="E153" s="4">
        <f t="shared" si="35"/>
        <v>477.76399999999995</v>
      </c>
      <c r="F153" s="4">
        <f t="shared" si="36"/>
        <v>21.818243549354449</v>
      </c>
      <c r="G153" s="4">
        <f t="shared" si="37"/>
        <v>521.40048709870882</v>
      </c>
      <c r="H153" s="4">
        <f t="shared" si="38"/>
        <v>434.12751290129108</v>
      </c>
      <c r="I153" s="4">
        <f t="shared" si="26"/>
        <v>505.32</v>
      </c>
      <c r="J153" s="4">
        <f t="shared" si="27"/>
        <v>486.77799999999996</v>
      </c>
      <c r="K153" s="4">
        <f t="shared" si="28"/>
        <v>477.76399999999995</v>
      </c>
      <c r="L153" s="4">
        <f t="shared" si="29"/>
        <v>446.80400000000003</v>
      </c>
      <c r="M153" s="11" t="str">
        <f t="shared" si="30"/>
        <v>進攻隊形，股票大漲</v>
      </c>
      <c r="N153" s="7" t="str">
        <f t="shared" si="31"/>
        <v/>
      </c>
      <c r="O153" s="21">
        <f t="shared" si="32"/>
        <v>100</v>
      </c>
      <c r="P153" s="4">
        <f t="shared" si="33"/>
        <v>92.556956252046703</v>
      </c>
      <c r="Q153" s="4">
        <f t="shared" si="34"/>
        <v>82.867941445169109</v>
      </c>
    </row>
    <row r="154" spans="1:17" x14ac:dyDescent="0.25">
      <c r="A154" s="1" t="s">
        <v>152</v>
      </c>
      <c r="B154" s="2">
        <v>502.88</v>
      </c>
      <c r="C154" s="2">
        <v>-0.02</v>
      </c>
      <c r="D154" s="18">
        <v>0</v>
      </c>
      <c r="E154" s="4">
        <f t="shared" si="35"/>
        <v>474.02649999999994</v>
      </c>
      <c r="F154" s="4">
        <f t="shared" si="36"/>
        <v>21.07722224657649</v>
      </c>
      <c r="G154" s="4">
        <f t="shared" si="37"/>
        <v>516.18094449315288</v>
      </c>
      <c r="H154" s="4">
        <f t="shared" si="38"/>
        <v>431.87205550684695</v>
      </c>
      <c r="I154" s="4">
        <f t="shared" si="26"/>
        <v>496.14600000000002</v>
      </c>
      <c r="J154" s="4">
        <f t="shared" si="27"/>
        <v>483.17600000000004</v>
      </c>
      <c r="K154" s="4">
        <f t="shared" si="28"/>
        <v>474.02649999999994</v>
      </c>
      <c r="L154" s="4">
        <f t="shared" si="29"/>
        <v>445.20159090909095</v>
      </c>
      <c r="M154" s="11" t="str">
        <f t="shared" si="30"/>
        <v>進攻隊形，股票大漲</v>
      </c>
      <c r="N154" s="7" t="str">
        <f t="shared" si="31"/>
        <v/>
      </c>
      <c r="O154" s="21">
        <f t="shared" si="32"/>
        <v>98.049512378094477</v>
      </c>
      <c r="P154" s="4">
        <f t="shared" si="33"/>
        <v>88.835434378070062</v>
      </c>
      <c r="Q154" s="4">
        <f t="shared" si="34"/>
        <v>78.023434041730312</v>
      </c>
    </row>
    <row r="155" spans="1:17" x14ac:dyDescent="0.25">
      <c r="A155" s="1" t="s">
        <v>153</v>
      </c>
      <c r="B155" s="2">
        <v>502.9</v>
      </c>
      <c r="C155" s="2">
        <v>-1.02</v>
      </c>
      <c r="D155" s="17">
        <v>-2E-3</v>
      </c>
      <c r="E155" s="4">
        <f t="shared" si="35"/>
        <v>471.58299999999997</v>
      </c>
      <c r="F155" s="4">
        <f t="shared" si="36"/>
        <v>20.37730758001474</v>
      </c>
      <c r="G155" s="4">
        <f t="shared" si="37"/>
        <v>512.33761516002949</v>
      </c>
      <c r="H155" s="4">
        <f t="shared" si="38"/>
        <v>430.82838483997051</v>
      </c>
      <c r="I155" s="4">
        <f t="shared" si="26"/>
        <v>485.68999999999994</v>
      </c>
      <c r="J155" s="4">
        <f t="shared" si="27"/>
        <v>481.637</v>
      </c>
      <c r="K155" s="4">
        <f t="shared" si="28"/>
        <v>471.58299999999997</v>
      </c>
      <c r="L155" s="4">
        <f t="shared" si="29"/>
        <v>443.86023255813956</v>
      </c>
      <c r="M155" s="11" t="str">
        <f t="shared" si="30"/>
        <v>進攻隊形，股票大漲</v>
      </c>
      <c r="N155" s="7" t="str">
        <f t="shared" si="31"/>
        <v/>
      </c>
      <c r="O155" s="21">
        <f t="shared" si="32"/>
        <v>98.087021755438784</v>
      </c>
      <c r="P155" s="4">
        <f t="shared" si="33"/>
        <v>84.228395378057854</v>
      </c>
      <c r="Q155" s="4">
        <f t="shared" si="34"/>
        <v>72.617433873560444</v>
      </c>
    </row>
    <row r="156" spans="1:17" x14ac:dyDescent="0.25">
      <c r="A156" s="1" t="s">
        <v>154</v>
      </c>
      <c r="B156" s="2">
        <v>503.92</v>
      </c>
      <c r="C156" s="2">
        <v>4.33</v>
      </c>
      <c r="D156" s="17">
        <v>8.6999999999999994E-3</v>
      </c>
      <c r="E156" s="4">
        <f t="shared" si="35"/>
        <v>468.84350000000006</v>
      </c>
      <c r="F156" s="4">
        <f t="shared" si="36"/>
        <v>19.61415795715995</v>
      </c>
      <c r="G156" s="4">
        <f t="shared" si="37"/>
        <v>508.07181591431998</v>
      </c>
      <c r="H156" s="4">
        <f t="shared" si="38"/>
        <v>429.61518408568014</v>
      </c>
      <c r="I156" s="4">
        <f t="shared" si="26"/>
        <v>482.44600000000003</v>
      </c>
      <c r="J156" s="4">
        <f t="shared" si="27"/>
        <v>480.4</v>
      </c>
      <c r="K156" s="4">
        <f t="shared" si="28"/>
        <v>468.84350000000006</v>
      </c>
      <c r="L156" s="4">
        <f t="shared" si="29"/>
        <v>442.45452380952389</v>
      </c>
      <c r="M156" s="11" t="str">
        <f t="shared" si="30"/>
        <v>進攻隊形，股票大漲</v>
      </c>
      <c r="N156" s="7" t="str">
        <f t="shared" si="31"/>
        <v>★黃金交叉(買訊)</v>
      </c>
      <c r="O156" s="21">
        <f t="shared" si="32"/>
        <v>100</v>
      </c>
      <c r="P156" s="4">
        <f t="shared" si="33"/>
        <v>77.299082189367397</v>
      </c>
      <c r="Q156" s="4">
        <f t="shared" si="34"/>
        <v>66.811953121311745</v>
      </c>
    </row>
    <row r="157" spans="1:17" x14ac:dyDescent="0.25">
      <c r="A157" s="1" t="s">
        <v>155</v>
      </c>
      <c r="B157" s="2">
        <v>499.59</v>
      </c>
      <c r="C157" s="2">
        <v>28.15</v>
      </c>
      <c r="D157" s="17">
        <v>5.9700000000000003E-2</v>
      </c>
      <c r="E157" s="4">
        <f t="shared" si="35"/>
        <v>465.07900000000001</v>
      </c>
      <c r="F157" s="4">
        <f t="shared" si="36"/>
        <v>19.752313895099128</v>
      </c>
      <c r="G157" s="4">
        <f t="shared" si="37"/>
        <v>504.58362779019825</v>
      </c>
      <c r="H157" s="4">
        <f t="shared" si="38"/>
        <v>425.57437220980177</v>
      </c>
      <c r="I157" s="4">
        <f t="shared" si="26"/>
        <v>477.29200000000003</v>
      </c>
      <c r="J157" s="4">
        <f t="shared" si="27"/>
        <v>478.59199999999998</v>
      </c>
      <c r="K157" s="4">
        <f t="shared" si="28"/>
        <v>465.07900000000001</v>
      </c>
      <c r="L157" s="4">
        <f t="shared" si="29"/>
        <v>440.95536585365858</v>
      </c>
      <c r="M157" s="11" t="str">
        <f t="shared" si="30"/>
        <v>打結隊形，忽上忽下看不懂</v>
      </c>
      <c r="N157" s="7" t="str">
        <f t="shared" si="31"/>
        <v/>
      </c>
      <c r="O157" s="21">
        <f t="shared" si="32"/>
        <v>100</v>
      </c>
      <c r="P157" s="4">
        <f t="shared" si="33"/>
        <v>65.948623284051109</v>
      </c>
      <c r="Q157" s="4">
        <f t="shared" si="34"/>
        <v>61.568388587283927</v>
      </c>
    </row>
    <row r="158" spans="1:17" x14ac:dyDescent="0.25">
      <c r="A158" s="1" t="s">
        <v>156</v>
      </c>
      <c r="B158" s="2">
        <v>471.44</v>
      </c>
      <c r="C158" s="2">
        <v>20.84</v>
      </c>
      <c r="D158" s="17">
        <v>4.6199999999999998E-2</v>
      </c>
      <c r="E158" s="4">
        <f t="shared" si="35"/>
        <v>461.63199999999995</v>
      </c>
      <c r="F158" s="4">
        <f t="shared" si="36"/>
        <v>19.425478277658684</v>
      </c>
      <c r="G158" s="4">
        <f t="shared" si="37"/>
        <v>500.48295655531729</v>
      </c>
      <c r="H158" s="4">
        <f t="shared" si="38"/>
        <v>422.78104344468261</v>
      </c>
      <c r="I158" s="4">
        <f t="shared" si="26"/>
        <v>468.23599999999999</v>
      </c>
      <c r="J158" s="4">
        <f t="shared" si="27"/>
        <v>475.68999999999994</v>
      </c>
      <c r="K158" s="4">
        <f t="shared" si="28"/>
        <v>461.63199999999995</v>
      </c>
      <c r="L158" s="4">
        <f t="shared" si="29"/>
        <v>439.48950000000002</v>
      </c>
      <c r="M158" s="11" t="str">
        <f t="shared" si="30"/>
        <v>打結隊形，忽上忽下看不懂</v>
      </c>
      <c r="N158" s="7" t="str">
        <f t="shared" si="31"/>
        <v/>
      </c>
      <c r="O158" s="21">
        <f t="shared" si="32"/>
        <v>52.191334835962934</v>
      </c>
      <c r="P158" s="4">
        <f t="shared" si="33"/>
        <v>48.922934926076678</v>
      </c>
      <c r="Q158" s="4">
        <f t="shared" si="34"/>
        <v>59.378271238900346</v>
      </c>
    </row>
    <row r="159" spans="1:17" x14ac:dyDescent="0.25">
      <c r="A159" s="1" t="s">
        <v>157</v>
      </c>
      <c r="B159" s="2">
        <v>450.6</v>
      </c>
      <c r="C159" s="2">
        <v>-36.08</v>
      </c>
      <c r="D159" s="17">
        <v>-7.4099999999999999E-2</v>
      </c>
      <c r="E159" s="4">
        <f t="shared" si="35"/>
        <v>459.96899999999994</v>
      </c>
      <c r="F159" s="4">
        <f t="shared" si="36"/>
        <v>19.958012478833236</v>
      </c>
      <c r="G159" s="4">
        <f t="shared" si="37"/>
        <v>499.88502495766642</v>
      </c>
      <c r="H159" s="4">
        <f t="shared" si="38"/>
        <v>420.05297504233346</v>
      </c>
      <c r="I159" s="4">
        <f t="shared" si="26"/>
        <v>470.20599999999996</v>
      </c>
      <c r="J159" s="4">
        <f t="shared" si="27"/>
        <v>474.58399999999995</v>
      </c>
      <c r="K159" s="4">
        <f t="shared" si="28"/>
        <v>459.96899999999994</v>
      </c>
      <c r="L159" s="4">
        <f t="shared" si="29"/>
        <v>438.67025641025651</v>
      </c>
      <c r="M159" s="11" t="str">
        <f t="shared" si="30"/>
        <v>打結隊形，忽上忽下看不懂</v>
      </c>
      <c r="N159" s="7" t="str">
        <f t="shared" si="31"/>
        <v>▲死亡交叉(賣訊)</v>
      </c>
      <c r="O159" s="21">
        <f t="shared" si="32"/>
        <v>0</v>
      </c>
      <c r="P159" s="4">
        <f t="shared" si="33"/>
        <v>47.288734971133557</v>
      </c>
      <c r="Q159" s="4">
        <f t="shared" si="34"/>
        <v>64.605939395312191</v>
      </c>
    </row>
    <row r="160" spans="1:17" x14ac:dyDescent="0.25">
      <c r="A160" s="1" t="s">
        <v>158</v>
      </c>
      <c r="B160" s="2">
        <v>486.68</v>
      </c>
      <c r="C160" s="2">
        <v>8.5299999999999994</v>
      </c>
      <c r="D160" s="17">
        <v>1.78E-2</v>
      </c>
      <c r="E160" s="4">
        <f t="shared" si="35"/>
        <v>459.69050000000004</v>
      </c>
      <c r="F160" s="4">
        <f t="shared" si="36"/>
        <v>20.133720464356365</v>
      </c>
      <c r="G160" s="4">
        <f t="shared" si="37"/>
        <v>499.95794092871279</v>
      </c>
      <c r="H160" s="4">
        <f t="shared" si="38"/>
        <v>419.4230590712873</v>
      </c>
      <c r="I160" s="4">
        <f t="shared" si="26"/>
        <v>477.584</v>
      </c>
      <c r="J160" s="4">
        <f t="shared" si="27"/>
        <v>475.96300000000002</v>
      </c>
      <c r="K160" s="4">
        <f t="shared" si="28"/>
        <v>459.69050000000004</v>
      </c>
      <c r="L160" s="4">
        <f t="shared" si="29"/>
        <v>438.3563157894738</v>
      </c>
      <c r="M160" s="11" t="str">
        <f t="shared" si="30"/>
        <v>進攻隊形，股票大漲</v>
      </c>
      <c r="N160" s="7" t="str">
        <f t="shared" si="31"/>
        <v/>
      </c>
      <c r="O160" s="21">
        <f t="shared" si="32"/>
        <v>89.370513528437414</v>
      </c>
      <c r="P160" s="4">
        <f t="shared" si="33"/>
        <v>70.93310245670034</v>
      </c>
      <c r="Q160" s="4">
        <f t="shared" si="34"/>
        <v>73.264541607401512</v>
      </c>
    </row>
    <row r="161" spans="1:17" x14ac:dyDescent="0.25">
      <c r="A161" s="1" t="s">
        <v>159</v>
      </c>
      <c r="B161" s="2">
        <v>478.15</v>
      </c>
      <c r="C161" s="2">
        <v>23.84</v>
      </c>
      <c r="D161" s="17">
        <v>5.2499999999999998E-2</v>
      </c>
      <c r="E161" s="4">
        <f t="shared" si="35"/>
        <v>457.24650000000003</v>
      </c>
      <c r="F161" s="4">
        <f t="shared" si="36"/>
        <v>19.645898801959714</v>
      </c>
      <c r="G161" s="4">
        <f t="shared" si="37"/>
        <v>496.53829760391943</v>
      </c>
      <c r="H161" s="4">
        <f t="shared" si="38"/>
        <v>417.95470239608062</v>
      </c>
      <c r="I161" s="4">
        <f t="shared" si="26"/>
        <v>478.35399999999998</v>
      </c>
      <c r="J161" s="4">
        <f t="shared" si="27"/>
        <v>473.38200000000006</v>
      </c>
      <c r="K161" s="4">
        <f t="shared" si="28"/>
        <v>457.24650000000003</v>
      </c>
      <c r="L161" s="4">
        <f t="shared" si="29"/>
        <v>437.05027027027035</v>
      </c>
      <c r="M161" s="11" t="str">
        <f t="shared" si="30"/>
        <v>進攻隊形，股票大漲</v>
      </c>
      <c r="N161" s="7" t="str">
        <f t="shared" si="31"/>
        <v/>
      </c>
      <c r="O161" s="21">
        <f t="shared" si="32"/>
        <v>65.819988956377671</v>
      </c>
      <c r="P161" s="4">
        <f t="shared" si="33"/>
        <v>61.714396920831817</v>
      </c>
      <c r="Q161" s="4">
        <f t="shared" si="34"/>
        <v>74.430261182752105</v>
      </c>
    </row>
    <row r="162" spans="1:17" x14ac:dyDescent="0.25">
      <c r="A162" s="1" t="s">
        <v>160</v>
      </c>
      <c r="B162" s="2">
        <v>454.31</v>
      </c>
      <c r="C162" s="2">
        <v>-26.98</v>
      </c>
      <c r="D162" s="17">
        <v>-5.6099999999999997E-2</v>
      </c>
      <c r="E162" s="4">
        <f t="shared" si="35"/>
        <v>454.85350000000005</v>
      </c>
      <c r="F162" s="4">
        <f t="shared" si="36"/>
        <v>19.879152072089571</v>
      </c>
      <c r="G162" s="4">
        <f t="shared" si="37"/>
        <v>494.61180414417919</v>
      </c>
      <c r="H162" s="4">
        <f t="shared" si="38"/>
        <v>415.09519585582092</v>
      </c>
      <c r="I162" s="4">
        <f t="shared" si="26"/>
        <v>479.892</v>
      </c>
      <c r="J162" s="4">
        <f t="shared" si="27"/>
        <v>470.54200000000003</v>
      </c>
      <c r="K162" s="4">
        <f t="shared" si="28"/>
        <v>454.85350000000005</v>
      </c>
      <c r="L162" s="4">
        <f t="shared" si="29"/>
        <v>435.90861111111121</v>
      </c>
      <c r="M162" s="11" t="str">
        <f t="shared" si="30"/>
        <v>進攻隊形，股票大漲</v>
      </c>
      <c r="N162" s="7" t="str">
        <f t="shared" si="31"/>
        <v/>
      </c>
      <c r="O162" s="21">
        <f t="shared" si="32"/>
        <v>0</v>
      </c>
      <c r="P162" s="4">
        <f t="shared" si="33"/>
        <v>59.66160090305889</v>
      </c>
      <c r="Q162" s="4">
        <f t="shared" si="34"/>
        <v>80.788193313712256</v>
      </c>
    </row>
    <row r="163" spans="1:17" x14ac:dyDescent="0.25">
      <c r="A163" s="1" t="s">
        <v>161</v>
      </c>
      <c r="B163" s="2">
        <v>481.29</v>
      </c>
      <c r="C163" s="2">
        <v>-6.2</v>
      </c>
      <c r="D163" s="17">
        <v>-1.2699999999999999E-2</v>
      </c>
      <c r="E163" s="4">
        <f t="shared" si="35"/>
        <v>453.58450000000005</v>
      </c>
      <c r="F163" s="4">
        <f t="shared" si="36"/>
        <v>20.708450213938221</v>
      </c>
      <c r="G163" s="4">
        <f t="shared" si="37"/>
        <v>495.00140042787649</v>
      </c>
      <c r="H163" s="4">
        <f t="shared" si="38"/>
        <v>412.16759957212361</v>
      </c>
      <c r="I163" s="4">
        <f t="shared" si="26"/>
        <v>483.14399999999995</v>
      </c>
      <c r="J163" s="4">
        <f t="shared" si="27"/>
        <v>468.75</v>
      </c>
      <c r="K163" s="4">
        <f t="shared" si="28"/>
        <v>453.58450000000005</v>
      </c>
      <c r="L163" s="4">
        <f t="shared" si="29"/>
        <v>435.38285714285718</v>
      </c>
      <c r="M163" s="11" t="str">
        <f t="shared" si="30"/>
        <v>進攻隊形，股票大漲</v>
      </c>
      <c r="N163" s="7" t="str">
        <f t="shared" si="31"/>
        <v/>
      </c>
      <c r="O163" s="21">
        <f t="shared" si="32"/>
        <v>77.341834232466994</v>
      </c>
      <c r="P163" s="4">
        <f t="shared" si="33"/>
        <v>89.492401354588338</v>
      </c>
      <c r="Q163" s="4">
        <f t="shared" si="34"/>
        <v>91.35148951903895</v>
      </c>
    </row>
    <row r="164" spans="1:17" x14ac:dyDescent="0.25">
      <c r="A164" s="1" t="s">
        <v>162</v>
      </c>
      <c r="B164" s="2">
        <v>487.49</v>
      </c>
      <c r="C164" s="2">
        <v>-3.04</v>
      </c>
      <c r="D164" s="17">
        <v>-6.1999999999999998E-3</v>
      </c>
      <c r="E164" s="4">
        <f t="shared" si="35"/>
        <v>450.54899999999998</v>
      </c>
      <c r="F164" s="4">
        <f t="shared" si="36"/>
        <v>20.882346334189851</v>
      </c>
      <c r="G164" s="4">
        <f t="shared" si="37"/>
        <v>492.3136926683797</v>
      </c>
      <c r="H164" s="4">
        <f t="shared" si="38"/>
        <v>408.78430733162025</v>
      </c>
      <c r="I164" s="4">
        <f t="shared" si="26"/>
        <v>478.96199999999999</v>
      </c>
      <c r="J164" s="4">
        <f t="shared" si="27"/>
        <v>464.87700000000007</v>
      </c>
      <c r="K164" s="4">
        <f t="shared" si="28"/>
        <v>450.54899999999998</v>
      </c>
      <c r="L164" s="4">
        <f t="shared" si="29"/>
        <v>434.03264705882356</v>
      </c>
      <c r="M164" s="11" t="str">
        <f t="shared" si="30"/>
        <v>進攻隊形，股票大漲</v>
      </c>
      <c r="N164" s="7" t="str">
        <f t="shared" si="31"/>
        <v/>
      </c>
      <c r="O164" s="21">
        <f t="shared" si="32"/>
        <v>94.384927964536459</v>
      </c>
      <c r="P164" s="4">
        <f t="shared" si="33"/>
        <v>95.567684915649011</v>
      </c>
      <c r="Q164" s="4">
        <f t="shared" si="34"/>
        <v>92.281033601264255</v>
      </c>
    </row>
    <row r="165" spans="1:17" x14ac:dyDescent="0.25">
      <c r="A165" s="1" t="s">
        <v>163</v>
      </c>
      <c r="B165" s="2">
        <v>490.53</v>
      </c>
      <c r="C165" s="2">
        <v>4.6900000000000004</v>
      </c>
      <c r="D165" s="17">
        <v>9.7000000000000003E-3</v>
      </c>
      <c r="E165" s="4">
        <f t="shared" si="35"/>
        <v>446.32150000000001</v>
      </c>
      <c r="F165" s="4">
        <f t="shared" si="36"/>
        <v>21.557657883477333</v>
      </c>
      <c r="G165" s="4">
        <f t="shared" si="37"/>
        <v>489.43681576695468</v>
      </c>
      <c r="H165" s="4">
        <f t="shared" si="38"/>
        <v>403.20618423304535</v>
      </c>
      <c r="I165" s="4">
        <f t="shared" si="26"/>
        <v>474.34199999999993</v>
      </c>
      <c r="J165" s="4">
        <f t="shared" si="27"/>
        <v>461.529</v>
      </c>
      <c r="K165" s="4">
        <f t="shared" si="28"/>
        <v>446.32150000000001</v>
      </c>
      <c r="L165" s="4">
        <f t="shared" si="29"/>
        <v>432.4127272727273</v>
      </c>
      <c r="M165" s="11" t="str">
        <f t="shared" si="30"/>
        <v>進攻隊形，股票大漲</v>
      </c>
      <c r="N165" s="7" t="str">
        <f t="shared" si="31"/>
        <v/>
      </c>
      <c r="O165" s="21">
        <f t="shared" si="32"/>
        <v>100</v>
      </c>
      <c r="P165" s="4">
        <f t="shared" si="33"/>
        <v>96.159063391205308</v>
      </c>
      <c r="Q165" s="4">
        <f t="shared" si="34"/>
        <v>90.637707944071892</v>
      </c>
    </row>
    <row r="166" spans="1:17" x14ac:dyDescent="0.25">
      <c r="A166" s="1" t="s">
        <v>164</v>
      </c>
      <c r="B166" s="2">
        <v>485.84</v>
      </c>
      <c r="C166" s="2">
        <v>15.27</v>
      </c>
      <c r="D166" s="17">
        <v>3.2500000000000001E-2</v>
      </c>
      <c r="E166" s="4">
        <f t="shared" si="35"/>
        <v>442.36799999999994</v>
      </c>
      <c r="F166" s="4">
        <f t="shared" si="36"/>
        <v>20.23317900458499</v>
      </c>
      <c r="G166" s="4">
        <f t="shared" si="37"/>
        <v>482.83435800916993</v>
      </c>
      <c r="H166" s="4">
        <f t="shared" si="38"/>
        <v>401.90164199082994</v>
      </c>
      <c r="I166" s="4">
        <f t="shared" si="26"/>
        <v>468.40999999999997</v>
      </c>
      <c r="J166" s="4">
        <f t="shared" si="27"/>
        <v>457.28699999999992</v>
      </c>
      <c r="K166" s="4">
        <f t="shared" si="28"/>
        <v>442.36799999999994</v>
      </c>
      <c r="L166" s="4">
        <f t="shared" si="29"/>
        <v>430.5965625</v>
      </c>
      <c r="M166" s="11" t="str">
        <f t="shared" si="30"/>
        <v>進攻隊形，股票大漲</v>
      </c>
      <c r="N166" s="7" t="str">
        <f t="shared" si="31"/>
        <v/>
      </c>
      <c r="O166" s="21">
        <f t="shared" si="32"/>
        <v>100</v>
      </c>
      <c r="P166" s="4">
        <f t="shared" si="33"/>
        <v>94.238595086807962</v>
      </c>
      <c r="Q166" s="4">
        <f t="shared" si="34"/>
        <v>87.877030220505191</v>
      </c>
    </row>
    <row r="167" spans="1:17" x14ac:dyDescent="0.25">
      <c r="A167" s="1" t="s">
        <v>165</v>
      </c>
      <c r="B167" s="2">
        <v>470.57</v>
      </c>
      <c r="C167" s="2">
        <v>10.19</v>
      </c>
      <c r="D167" s="17">
        <v>2.2100000000000002E-2</v>
      </c>
      <c r="E167" s="4">
        <f t="shared" si="35"/>
        <v>438.38799999999992</v>
      </c>
      <c r="F167" s="4">
        <f t="shared" si="36"/>
        <v>19.024718989556163</v>
      </c>
      <c r="G167" s="4">
        <f t="shared" si="37"/>
        <v>476.43743797911225</v>
      </c>
      <c r="H167" s="4">
        <f t="shared" si="38"/>
        <v>400.33856202088759</v>
      </c>
      <c r="I167" s="4">
        <f t="shared" si="26"/>
        <v>461.19200000000001</v>
      </c>
      <c r="J167" s="4">
        <f t="shared" si="27"/>
        <v>451.56599999999997</v>
      </c>
      <c r="K167" s="4">
        <f t="shared" si="28"/>
        <v>438.38799999999992</v>
      </c>
      <c r="L167" s="4">
        <f t="shared" si="29"/>
        <v>428.81451612903226</v>
      </c>
      <c r="M167" s="11" t="str">
        <f t="shared" si="30"/>
        <v>進攻隊形，股票大漲</v>
      </c>
      <c r="N167" s="7" t="str">
        <f t="shared" si="31"/>
        <v/>
      </c>
      <c r="O167" s="21">
        <f t="shared" si="32"/>
        <v>100</v>
      </c>
      <c r="P167" s="4">
        <f t="shared" si="33"/>
        <v>91.35789263021195</v>
      </c>
      <c r="Q167" s="4">
        <f t="shared" si="34"/>
        <v>84.696247787353812</v>
      </c>
    </row>
    <row r="168" spans="1:17" x14ac:dyDescent="0.25">
      <c r="A168" s="1" t="s">
        <v>166</v>
      </c>
      <c r="B168" s="2">
        <v>460.38</v>
      </c>
      <c r="C168" s="2">
        <v>-4.01</v>
      </c>
      <c r="D168" s="17">
        <v>-8.6E-3</v>
      </c>
      <c r="E168" s="4">
        <f t="shared" si="35"/>
        <v>435.55650000000003</v>
      </c>
      <c r="F168" s="4">
        <f t="shared" si="36"/>
        <v>18.178261243642233</v>
      </c>
      <c r="G168" s="4">
        <f t="shared" si="37"/>
        <v>471.91302248728448</v>
      </c>
      <c r="H168" s="4">
        <f t="shared" si="38"/>
        <v>399.19997751271558</v>
      </c>
      <c r="I168" s="4">
        <f t="shared" si="26"/>
        <v>454.35599999999994</v>
      </c>
      <c r="J168" s="4">
        <f t="shared" si="27"/>
        <v>447.57399999999996</v>
      </c>
      <c r="K168" s="4">
        <f t="shared" si="28"/>
        <v>435.55650000000003</v>
      </c>
      <c r="L168" s="4">
        <f t="shared" si="29"/>
        <v>427.42266666666671</v>
      </c>
      <c r="M168" s="11" t="str">
        <f t="shared" si="30"/>
        <v>進攻隊形，股票大漲</v>
      </c>
      <c r="N168" s="7" t="str">
        <f t="shared" si="31"/>
        <v/>
      </c>
      <c r="O168" s="21">
        <f t="shared" si="32"/>
        <v>88.78635346756154</v>
      </c>
      <c r="P168" s="4">
        <f t="shared" si="33"/>
        <v>87.036838945317925</v>
      </c>
      <c r="Q168" s="4">
        <f t="shared" si="34"/>
        <v>81.36542536592475</v>
      </c>
    </row>
    <row r="169" spans="1:17" x14ac:dyDescent="0.25">
      <c r="A169" s="1" t="s">
        <v>167</v>
      </c>
      <c r="B169" s="2">
        <v>464.39</v>
      </c>
      <c r="C169" s="2">
        <v>3.52</v>
      </c>
      <c r="D169" s="17">
        <v>7.6E-3</v>
      </c>
      <c r="E169" s="4">
        <f t="shared" si="35"/>
        <v>432.98149999999998</v>
      </c>
      <c r="F169" s="4">
        <f t="shared" si="36"/>
        <v>18.124353280658188</v>
      </c>
      <c r="G169" s="4">
        <f t="shared" si="37"/>
        <v>469.23020656131638</v>
      </c>
      <c r="H169" s="4">
        <f t="shared" si="38"/>
        <v>396.73279343868359</v>
      </c>
      <c r="I169" s="4">
        <f t="shared" si="26"/>
        <v>450.79200000000003</v>
      </c>
      <c r="J169" s="4">
        <f t="shared" si="27"/>
        <v>445.3540000000001</v>
      </c>
      <c r="K169" s="4">
        <f t="shared" si="28"/>
        <v>432.98149999999998</v>
      </c>
      <c r="L169" s="4">
        <f t="shared" si="29"/>
        <v>426.28620689655179</v>
      </c>
      <c r="M169" s="11" t="str">
        <f t="shared" si="30"/>
        <v>進攻隊形，股票大漲</v>
      </c>
      <c r="N169" s="7" t="str">
        <f t="shared" si="31"/>
        <v/>
      </c>
      <c r="O169" s="21">
        <f t="shared" si="32"/>
        <v>100</v>
      </c>
      <c r="P169" s="4">
        <f t="shared" si="33"/>
        <v>86.16208168419611</v>
      </c>
      <c r="Q169" s="4">
        <f t="shared" si="34"/>
        <v>78.529718576228163</v>
      </c>
    </row>
    <row r="170" spans="1:17" x14ac:dyDescent="0.25">
      <c r="A170" s="1" t="s">
        <v>168</v>
      </c>
      <c r="B170" s="2">
        <v>460.87</v>
      </c>
      <c r="C170" s="2">
        <v>11.12</v>
      </c>
      <c r="D170" s="17">
        <v>2.47E-2</v>
      </c>
      <c r="E170" s="4">
        <f t="shared" si="35"/>
        <v>430.55100000000004</v>
      </c>
      <c r="F170" s="4">
        <f t="shared" si="36"/>
        <v>16.909359880815934</v>
      </c>
      <c r="G170" s="4">
        <f t="shared" si="37"/>
        <v>464.36971976163193</v>
      </c>
      <c r="H170" s="4">
        <f t="shared" si="38"/>
        <v>396.73228023836816</v>
      </c>
      <c r="I170" s="4">
        <f t="shared" si="26"/>
        <v>448.71600000000001</v>
      </c>
      <c r="J170" s="4">
        <f t="shared" si="27"/>
        <v>443.41800000000001</v>
      </c>
      <c r="K170" s="4">
        <f t="shared" si="28"/>
        <v>430.55100000000004</v>
      </c>
      <c r="L170" s="4">
        <f t="shared" si="29"/>
        <v>424.92535714285719</v>
      </c>
      <c r="M170" s="11" t="str">
        <f t="shared" si="30"/>
        <v>進攻隊形，股票大漲</v>
      </c>
      <c r="N170" s="7" t="str">
        <f t="shared" si="31"/>
        <v/>
      </c>
      <c r="O170" s="21">
        <f t="shared" si="32"/>
        <v>100</v>
      </c>
      <c r="P170" s="4">
        <f t="shared" si="33"/>
        <v>79.243122526294172</v>
      </c>
      <c r="Q170" s="4">
        <f t="shared" si="34"/>
        <v>74.713537022244182</v>
      </c>
    </row>
    <row r="171" spans="1:17" x14ac:dyDescent="0.25">
      <c r="A171" s="1" t="s">
        <v>169</v>
      </c>
      <c r="B171" s="2">
        <v>449.75</v>
      </c>
      <c r="C171" s="2">
        <v>13.36</v>
      </c>
      <c r="D171" s="17">
        <v>3.0599999999999999E-2</v>
      </c>
      <c r="E171" s="4">
        <f t="shared" si="35"/>
        <v>427.84499999999997</v>
      </c>
      <c r="F171" s="4">
        <f t="shared" si="36"/>
        <v>16.113739969028721</v>
      </c>
      <c r="G171" s="4">
        <f t="shared" si="37"/>
        <v>460.07247993805743</v>
      </c>
      <c r="H171" s="4">
        <f t="shared" si="38"/>
        <v>395.61752006194251</v>
      </c>
      <c r="I171" s="4">
        <f t="shared" si="26"/>
        <v>446.16400000000004</v>
      </c>
      <c r="J171" s="4">
        <f t="shared" si="27"/>
        <v>441.11100000000005</v>
      </c>
      <c r="K171" s="4">
        <f t="shared" si="28"/>
        <v>427.84499999999997</v>
      </c>
      <c r="L171" s="4">
        <f t="shared" si="29"/>
        <v>423.59407407407411</v>
      </c>
      <c r="M171" s="11" t="str">
        <f t="shared" si="30"/>
        <v>進攻隊形，股票大漲</v>
      </c>
      <c r="N171" s="7" t="str">
        <f t="shared" si="31"/>
        <v/>
      </c>
      <c r="O171" s="21">
        <f t="shared" si="32"/>
        <v>83.215130023640697</v>
      </c>
      <c r="P171" s="4">
        <f t="shared" si="33"/>
        <v>68.864683789441258</v>
      </c>
      <c r="Q171" s="4">
        <f t="shared" si="34"/>
        <v>72.448744270219194</v>
      </c>
    </row>
    <row r="172" spans="1:17" x14ac:dyDescent="0.25">
      <c r="A172" s="1" t="s">
        <v>170</v>
      </c>
      <c r="B172" s="2">
        <v>436.39</v>
      </c>
      <c r="C172" s="2">
        <v>-6.17</v>
      </c>
      <c r="D172" s="17">
        <v>-1.3899999999999999E-2</v>
      </c>
      <c r="E172" s="4">
        <f t="shared" si="35"/>
        <v>425.79700000000003</v>
      </c>
      <c r="F172" s="4">
        <f t="shared" si="36"/>
        <v>15.782698088329777</v>
      </c>
      <c r="G172" s="4">
        <f t="shared" si="37"/>
        <v>457.36239617665956</v>
      </c>
      <c r="H172" s="4">
        <f t="shared" si="38"/>
        <v>394.23160382334049</v>
      </c>
      <c r="I172" s="4">
        <f t="shared" si="26"/>
        <v>441.94000000000005</v>
      </c>
      <c r="J172" s="4">
        <f t="shared" si="27"/>
        <v>439.16500000000008</v>
      </c>
      <c r="K172" s="4">
        <f t="shared" si="28"/>
        <v>425.79700000000003</v>
      </c>
      <c r="L172" s="4">
        <f t="shared" si="29"/>
        <v>422.58807692307698</v>
      </c>
      <c r="M172" s="11" t="str">
        <f t="shared" si="30"/>
        <v>進攻隊形，股票大漲</v>
      </c>
      <c r="N172" s="7" t="str">
        <f t="shared" si="31"/>
        <v/>
      </c>
      <c r="O172" s="21">
        <f t="shared" si="32"/>
        <v>30.575256107170972</v>
      </c>
      <c r="P172" s="4">
        <f t="shared" si="33"/>
        <v>61.689460672341539</v>
      </c>
      <c r="Q172" s="4">
        <f t="shared" si="34"/>
        <v>74.240774510608162</v>
      </c>
    </row>
    <row r="173" spans="1:17" x14ac:dyDescent="0.25">
      <c r="A173" s="1" t="s">
        <v>171</v>
      </c>
      <c r="B173" s="2">
        <v>442.56</v>
      </c>
      <c r="C173" s="2">
        <v>-11.45</v>
      </c>
      <c r="D173" s="17">
        <v>-2.52E-2</v>
      </c>
      <c r="E173" s="4">
        <f t="shared" si="35"/>
        <v>424.30349999999999</v>
      </c>
      <c r="F173" s="4">
        <f t="shared" si="36"/>
        <v>16.136845473701026</v>
      </c>
      <c r="G173" s="4">
        <f t="shared" si="37"/>
        <v>456.57719094740202</v>
      </c>
      <c r="H173" s="4">
        <f t="shared" si="38"/>
        <v>392.02980905259795</v>
      </c>
      <c r="I173" s="4">
        <f t="shared" si="26"/>
        <v>440.79200000000003</v>
      </c>
      <c r="J173" s="4">
        <f t="shared" si="27"/>
        <v>438.41900000000004</v>
      </c>
      <c r="K173" s="4">
        <f t="shared" si="28"/>
        <v>424.30349999999999</v>
      </c>
      <c r="L173" s="4">
        <f t="shared" si="29"/>
        <v>422.036</v>
      </c>
      <c r="M173" s="11" t="str">
        <f t="shared" si="30"/>
        <v>進攻隊形，股票大漲</v>
      </c>
      <c r="N173" s="7" t="str">
        <f t="shared" si="31"/>
        <v/>
      </c>
      <c r="O173" s="21">
        <f t="shared" si="32"/>
        <v>54.885736800630461</v>
      </c>
      <c r="P173" s="4">
        <f t="shared" si="33"/>
        <v>77.24656295492683</v>
      </c>
      <c r="Q173" s="4">
        <f t="shared" si="34"/>
        <v>80.516431429741473</v>
      </c>
    </row>
    <row r="174" spans="1:17" x14ac:dyDescent="0.25">
      <c r="A174" s="1" t="s">
        <v>172</v>
      </c>
      <c r="B174" s="2">
        <v>454.01</v>
      </c>
      <c r="C174" s="2">
        <v>5.9</v>
      </c>
      <c r="D174" s="17">
        <v>1.32E-2</v>
      </c>
      <c r="E174" s="4">
        <f t="shared" si="35"/>
        <v>422.5424999999999</v>
      </c>
      <c r="F174" s="4">
        <f t="shared" si="36"/>
        <v>15.96047086596</v>
      </c>
      <c r="G174" s="4">
        <f t="shared" si="37"/>
        <v>454.46344173191989</v>
      </c>
      <c r="H174" s="4">
        <f t="shared" si="38"/>
        <v>390.62155826807992</v>
      </c>
      <c r="I174" s="4">
        <f t="shared" si="26"/>
        <v>439.916</v>
      </c>
      <c r="J174" s="4">
        <f t="shared" si="27"/>
        <v>436.221</v>
      </c>
      <c r="K174" s="4">
        <f t="shared" si="28"/>
        <v>422.5424999999999</v>
      </c>
      <c r="L174" s="4">
        <f t="shared" si="29"/>
        <v>421.18083333333328</v>
      </c>
      <c r="M174" s="11" t="str">
        <f t="shared" si="30"/>
        <v>進攻隊形，股票大漲</v>
      </c>
      <c r="N174" s="7" t="str">
        <f t="shared" si="31"/>
        <v/>
      </c>
      <c r="O174" s="21">
        <f t="shared" si="32"/>
        <v>100</v>
      </c>
      <c r="P174" s="4">
        <f t="shared" si="33"/>
        <v>88.426976032075018</v>
      </c>
      <c r="Q174" s="4">
        <f t="shared" si="34"/>
        <v>82.151365667148795</v>
      </c>
    </row>
    <row r="175" spans="1:17" x14ac:dyDescent="0.25">
      <c r="A175" s="1" t="s">
        <v>173</v>
      </c>
      <c r="B175" s="2">
        <v>448.11</v>
      </c>
      <c r="C175" s="2">
        <v>19.48</v>
      </c>
      <c r="D175" s="17">
        <v>4.5400000000000003E-2</v>
      </c>
      <c r="E175" s="4">
        <f t="shared" si="35"/>
        <v>420.38199999999989</v>
      </c>
      <c r="F175" s="4">
        <f t="shared" si="36"/>
        <v>14.316577656321142</v>
      </c>
      <c r="G175" s="4">
        <f t="shared" si="37"/>
        <v>449.01515531264215</v>
      </c>
      <c r="H175" s="4">
        <f t="shared" si="38"/>
        <v>391.74884468735763</v>
      </c>
      <c r="I175" s="4">
        <f t="shared" si="26"/>
        <v>438.12</v>
      </c>
      <c r="J175" s="4">
        <f t="shared" si="27"/>
        <v>431.11399999999992</v>
      </c>
      <c r="K175" s="4">
        <f t="shared" si="28"/>
        <v>420.38199999999989</v>
      </c>
      <c r="L175" s="4">
        <f t="shared" si="29"/>
        <v>419.75347826086949</v>
      </c>
      <c r="M175" s="11" t="str">
        <f t="shared" si="30"/>
        <v>進攻隊形，股票大漲</v>
      </c>
      <c r="N175" s="7" t="str">
        <f t="shared" si="31"/>
        <v/>
      </c>
      <c r="O175" s="21">
        <f t="shared" si="32"/>
        <v>100</v>
      </c>
      <c r="P175" s="4">
        <f t="shared" si="33"/>
        <v>82.640464048112534</v>
      </c>
      <c r="Q175" s="4">
        <f t="shared" si="34"/>
        <v>79.013560484685684</v>
      </c>
    </row>
    <row r="176" spans="1:17" x14ac:dyDescent="0.25">
      <c r="A176" s="1" t="s">
        <v>174</v>
      </c>
      <c r="B176" s="2">
        <v>428.63</v>
      </c>
      <c r="C176" s="2">
        <v>-2.02</v>
      </c>
      <c r="D176" s="17">
        <v>-4.7000000000000002E-3</v>
      </c>
      <c r="E176" s="4">
        <f t="shared" si="35"/>
        <v>419.06499999999994</v>
      </c>
      <c r="F176" s="4">
        <f t="shared" si="36"/>
        <v>12.758316792132929</v>
      </c>
      <c r="G176" s="4">
        <f t="shared" si="37"/>
        <v>444.58163358426577</v>
      </c>
      <c r="H176" s="4">
        <f t="shared" si="38"/>
        <v>393.54836641573411</v>
      </c>
      <c r="I176" s="4">
        <f t="shared" si="26"/>
        <v>436.05799999999999</v>
      </c>
      <c r="J176" s="4">
        <f t="shared" si="27"/>
        <v>427.44899999999996</v>
      </c>
      <c r="K176" s="4">
        <f t="shared" si="28"/>
        <v>419.06499999999994</v>
      </c>
      <c r="L176" s="4">
        <f t="shared" si="29"/>
        <v>418.46454545454543</v>
      </c>
      <c r="M176" s="11" t="str">
        <f t="shared" si="30"/>
        <v>進攻隊形，股票大漲</v>
      </c>
      <c r="N176" s="7" t="str">
        <f t="shared" si="31"/>
        <v/>
      </c>
      <c r="O176" s="21">
        <f t="shared" si="32"/>
        <v>61.035875504870553</v>
      </c>
      <c r="P176" s="4">
        <f t="shared" si="33"/>
        <v>73.960696072168815</v>
      </c>
      <c r="Q176" s="4">
        <f t="shared" si="34"/>
        <v>77.200108702972258</v>
      </c>
    </row>
    <row r="177" spans="1:17" x14ac:dyDescent="0.25">
      <c r="A177" s="1" t="s">
        <v>175</v>
      </c>
      <c r="B177" s="2">
        <v>430.65</v>
      </c>
      <c r="C177" s="2">
        <v>-7.53</v>
      </c>
      <c r="D177" s="17">
        <v>-1.72E-2</v>
      </c>
      <c r="E177" s="4">
        <f t="shared" si="35"/>
        <v>418.32199999999995</v>
      </c>
      <c r="F177" s="4">
        <f t="shared" si="36"/>
        <v>12.603727769362941</v>
      </c>
      <c r="G177" s="4">
        <f t="shared" si="37"/>
        <v>443.52945553872581</v>
      </c>
      <c r="H177" s="4">
        <f t="shared" si="38"/>
        <v>393.11454446127408</v>
      </c>
      <c r="I177" s="4">
        <f t="shared" si="26"/>
        <v>436.39</v>
      </c>
      <c r="J177" s="4">
        <f t="shared" si="27"/>
        <v>425.20999999999992</v>
      </c>
      <c r="K177" s="4">
        <f t="shared" si="28"/>
        <v>418.32199999999995</v>
      </c>
      <c r="L177" s="4">
        <f t="shared" si="29"/>
        <v>417.98047619047611</v>
      </c>
      <c r="M177" s="11" t="str">
        <f t="shared" si="30"/>
        <v>進攻隊形，股票大漲</v>
      </c>
      <c r="N177" s="7" t="str">
        <f t="shared" si="31"/>
        <v/>
      </c>
      <c r="O177" s="21">
        <f t="shared" si="32"/>
        <v>65.835115229270599</v>
      </c>
      <c r="P177" s="4">
        <f t="shared" si="33"/>
        <v>80.42310635581795</v>
      </c>
      <c r="Q177" s="4">
        <f t="shared" si="34"/>
        <v>78.819815018373987</v>
      </c>
    </row>
    <row r="178" spans="1:17" x14ac:dyDescent="0.25">
      <c r="A178" s="1" t="s">
        <v>176</v>
      </c>
      <c r="B178" s="2">
        <v>438.18</v>
      </c>
      <c r="C178" s="2">
        <v>-6.85</v>
      </c>
      <c r="D178" s="17">
        <v>-1.54E-2</v>
      </c>
      <c r="E178" s="4">
        <f t="shared" si="35"/>
        <v>417.34699999999992</v>
      </c>
      <c r="F178" s="4">
        <f t="shared" si="36"/>
        <v>12.351583363235152</v>
      </c>
      <c r="G178" s="4">
        <f t="shared" si="37"/>
        <v>442.05016672647025</v>
      </c>
      <c r="H178" s="4">
        <f t="shared" si="38"/>
        <v>392.64383327352959</v>
      </c>
      <c r="I178" s="4">
        <f t="shared" si="26"/>
        <v>436.04599999999999</v>
      </c>
      <c r="J178" s="4">
        <f t="shared" si="27"/>
        <v>423.53899999999993</v>
      </c>
      <c r="K178" s="4">
        <f t="shared" si="28"/>
        <v>417.34699999999992</v>
      </c>
      <c r="L178" s="4">
        <f t="shared" si="29"/>
        <v>417.34699999999992</v>
      </c>
      <c r="M178" s="11" t="str">
        <f t="shared" si="30"/>
        <v>進攻隊形，股票大漲</v>
      </c>
      <c r="N178" s="7" t="str">
        <f t="shared" si="31"/>
        <v/>
      </c>
      <c r="O178" s="21">
        <f t="shared" si="32"/>
        <v>83.725350439534409</v>
      </c>
      <c r="P178" s="4">
        <f t="shared" si="33"/>
        <v>87.717101919091633</v>
      </c>
      <c r="Q178" s="4">
        <f t="shared" si="34"/>
        <v>78.018169349652027</v>
      </c>
    </row>
    <row r="179" spans="1:17" x14ac:dyDescent="0.25">
      <c r="A179" s="1" t="s">
        <v>177</v>
      </c>
      <c r="B179" s="2">
        <v>445.03</v>
      </c>
      <c r="C179" s="2">
        <v>7.23</v>
      </c>
      <c r="D179" s="17">
        <v>1.6500000000000001E-2</v>
      </c>
      <c r="E179" s="4">
        <f t="shared" si="35"/>
        <v>416.2505263157895</v>
      </c>
      <c r="F179" s="4">
        <f t="shared" si="36"/>
        <v>11.64715963166042</v>
      </c>
      <c r="G179" s="4">
        <f t="shared" si="37"/>
        <v>439.54484557911036</v>
      </c>
      <c r="H179" s="4">
        <f t="shared" si="38"/>
        <v>392.95620705246864</v>
      </c>
      <c r="I179" s="4">
        <f t="shared" si="26"/>
        <v>432.52600000000001</v>
      </c>
      <c r="J179" s="4">
        <f t="shared" si="27"/>
        <v>420.60900000000004</v>
      </c>
      <c r="K179" s="4">
        <f t="shared" si="28"/>
        <v>416.2505263157895</v>
      </c>
      <c r="L179" s="4">
        <f t="shared" si="29"/>
        <v>416.2505263157895</v>
      </c>
      <c r="M179" s="11" t="str">
        <f t="shared" si="30"/>
        <v>進攻隊形，股票大漲</v>
      </c>
      <c r="N179" s="7" t="str">
        <f t="shared" si="31"/>
        <v/>
      </c>
      <c r="O179" s="21">
        <f t="shared" si="32"/>
        <v>100</v>
      </c>
      <c r="P179" s="4">
        <f t="shared" si="33"/>
        <v>89.712977658870244</v>
      </c>
      <c r="Q179" s="4">
        <f t="shared" si="34"/>
        <v>73.168703064932217</v>
      </c>
    </row>
    <row r="180" spans="1:17" x14ac:dyDescent="0.25">
      <c r="A180" s="1" t="s">
        <v>178</v>
      </c>
      <c r="B180" s="2">
        <v>437.8</v>
      </c>
      <c r="C180" s="2">
        <v>7.51</v>
      </c>
      <c r="D180" s="17">
        <v>1.7500000000000002E-2</v>
      </c>
      <c r="E180" s="4">
        <f t="shared" si="35"/>
        <v>414.65166666666664</v>
      </c>
      <c r="F180" s="4">
        <f t="shared" si="36"/>
        <v>9.602516367506766</v>
      </c>
      <c r="G180" s="4">
        <f t="shared" si="37"/>
        <v>433.8566994016802</v>
      </c>
      <c r="H180" s="4">
        <f t="shared" si="38"/>
        <v>395.44663393165308</v>
      </c>
      <c r="I180" s="4">
        <f t="shared" si="26"/>
        <v>424.108</v>
      </c>
      <c r="J180" s="4">
        <f t="shared" si="27"/>
        <v>417.68400000000003</v>
      </c>
      <c r="K180" s="4">
        <f t="shared" si="28"/>
        <v>414.65166666666664</v>
      </c>
      <c r="L180" s="4">
        <f t="shared" si="29"/>
        <v>414.65166666666664</v>
      </c>
      <c r="M180" s="11" t="str">
        <f t="shared" si="30"/>
        <v>進攻隊形，股票大漲</v>
      </c>
      <c r="N180" s="7" t="str">
        <f t="shared" si="31"/>
        <v/>
      </c>
      <c r="O180" s="21">
        <f t="shared" si="32"/>
        <v>100</v>
      </c>
      <c r="P180" s="4">
        <f t="shared" si="33"/>
        <v>84.56946648830538</v>
      </c>
      <c r="Q180" s="4">
        <f t="shared" si="34"/>
        <v>64.89656576796321</v>
      </c>
    </row>
    <row r="181" spans="1:17" x14ac:dyDescent="0.25">
      <c r="A181" s="1" t="s">
        <v>179</v>
      </c>
      <c r="B181" s="2">
        <v>430.29</v>
      </c>
      <c r="C181" s="2">
        <v>1.36</v>
      </c>
      <c r="D181" s="17">
        <v>3.2000000000000002E-3</v>
      </c>
      <c r="E181" s="4">
        <f t="shared" si="35"/>
        <v>413.29</v>
      </c>
      <c r="F181" s="4">
        <f t="shared" si="36"/>
        <v>7.9063890303981408</v>
      </c>
      <c r="G181" s="4">
        <f t="shared" si="37"/>
        <v>429.10277806079631</v>
      </c>
      <c r="H181" s="4">
        <f t="shared" si="38"/>
        <v>397.47722193920373</v>
      </c>
      <c r="I181" s="4">
        <f t="shared" si="26"/>
        <v>418.84</v>
      </c>
      <c r="J181" s="4">
        <f t="shared" si="27"/>
        <v>414.57900000000001</v>
      </c>
      <c r="K181" s="4">
        <f t="shared" si="28"/>
        <v>413.29</v>
      </c>
      <c r="L181" s="4">
        <f t="shared" si="29"/>
        <v>413.29</v>
      </c>
      <c r="M181" s="11" t="str">
        <f t="shared" si="30"/>
        <v>進攻隊形，股票大漲</v>
      </c>
      <c r="N181" s="7" t="str">
        <f t="shared" si="31"/>
        <v/>
      </c>
      <c r="O181" s="21">
        <f t="shared" si="32"/>
        <v>100</v>
      </c>
      <c r="P181" s="4">
        <f t="shared" si="33"/>
        <v>76.854199732458085</v>
      </c>
      <c r="Q181" s="4">
        <f t="shared" si="34"/>
        <v>55.060115407792132</v>
      </c>
    </row>
    <row r="182" spans="1:17" x14ac:dyDescent="0.25">
      <c r="A182" s="1" t="s">
        <v>180</v>
      </c>
      <c r="B182" s="2">
        <v>428.93</v>
      </c>
      <c r="C182" s="2">
        <v>8.35</v>
      </c>
      <c r="D182" s="17">
        <v>1.9900000000000001E-2</v>
      </c>
      <c r="E182" s="4">
        <f t="shared" si="35"/>
        <v>412.22749999999996</v>
      </c>
      <c r="F182" s="4">
        <f t="shared" si="36"/>
        <v>6.7976137970123975</v>
      </c>
      <c r="G182" s="4">
        <f t="shared" si="37"/>
        <v>425.82272759402474</v>
      </c>
      <c r="H182" s="4">
        <f t="shared" si="38"/>
        <v>398.63227240597519</v>
      </c>
      <c r="I182" s="4">
        <f t="shared" si="26"/>
        <v>414.03000000000003</v>
      </c>
      <c r="J182" s="4">
        <f t="shared" si="27"/>
        <v>412.42899999999997</v>
      </c>
      <c r="K182" s="4">
        <f t="shared" si="28"/>
        <v>412.22749999999996</v>
      </c>
      <c r="L182" s="4">
        <f t="shared" si="29"/>
        <v>412.22749999999996</v>
      </c>
      <c r="M182" s="11" t="str">
        <f t="shared" si="30"/>
        <v>進攻隊形，股票大漲</v>
      </c>
      <c r="N182" s="7" t="str">
        <f t="shared" si="31"/>
        <v/>
      </c>
      <c r="O182" s="21">
        <f t="shared" si="32"/>
        <v>100</v>
      </c>
      <c r="P182" s="4">
        <f t="shared" si="33"/>
        <v>65.281299598687127</v>
      </c>
      <c r="Q182" s="4">
        <f t="shared" si="34"/>
        <v>44.163073245459159</v>
      </c>
    </row>
    <row r="183" spans="1:17" x14ac:dyDescent="0.25">
      <c r="A183" s="1" t="s">
        <v>181</v>
      </c>
      <c r="B183" s="2">
        <v>420.58</v>
      </c>
      <c r="C183" s="2">
        <v>17.64</v>
      </c>
      <c r="D183" s="17">
        <v>4.3799999999999999E-2</v>
      </c>
      <c r="E183" s="4">
        <f t="shared" si="35"/>
        <v>411.11399999999992</v>
      </c>
      <c r="F183" s="4">
        <f t="shared" si="36"/>
        <v>5.3153521587406143</v>
      </c>
      <c r="G183" s="4">
        <f t="shared" si="37"/>
        <v>421.74470431748114</v>
      </c>
      <c r="H183" s="4">
        <f t="shared" si="38"/>
        <v>400.4832956825187</v>
      </c>
      <c r="I183" s="4">
        <f t="shared" si="26"/>
        <v>411.03199999999998</v>
      </c>
      <c r="J183" s="4">
        <f t="shared" si="27"/>
        <v>410.18799999999993</v>
      </c>
      <c r="K183" s="4">
        <f t="shared" si="28"/>
        <v>411.11399999999992</v>
      </c>
      <c r="L183" s="4">
        <f t="shared" si="29"/>
        <v>411.11399999999992</v>
      </c>
      <c r="M183" s="11" t="str">
        <f t="shared" si="30"/>
        <v>打結隊形，忽上忽下看不懂</v>
      </c>
      <c r="N183" s="7" t="str">
        <f t="shared" si="31"/>
        <v>★黃金交叉(買訊)</v>
      </c>
      <c r="O183" s="21">
        <f t="shared" si="32"/>
        <v>100</v>
      </c>
      <c r="P183" s="4">
        <f t="shared" si="33"/>
        <v>47.921949398030691</v>
      </c>
      <c r="Q183" s="4">
        <f t="shared" si="34"/>
        <v>33.603960068845183</v>
      </c>
    </row>
    <row r="184" spans="1:17" x14ac:dyDescent="0.25">
      <c r="A184" s="1" t="s">
        <v>182</v>
      </c>
      <c r="B184" s="2">
        <v>402.94</v>
      </c>
      <c r="C184" s="2">
        <v>-8.52</v>
      </c>
      <c r="D184" s="17">
        <v>-2.07E-2</v>
      </c>
      <c r="E184" s="4">
        <f t="shared" si="35"/>
        <v>410.43785714285707</v>
      </c>
      <c r="F184" s="4">
        <f t="shared" si="36"/>
        <v>4.8001284895806142</v>
      </c>
      <c r="G184" s="4">
        <f t="shared" si="37"/>
        <v>420.03811412201827</v>
      </c>
      <c r="H184" s="4">
        <f t="shared" si="38"/>
        <v>400.83760016369587</v>
      </c>
      <c r="I184" s="4">
        <f t="shared" si="26"/>
        <v>408.69200000000001</v>
      </c>
      <c r="J184" s="4">
        <f t="shared" si="27"/>
        <v>408.86399999999998</v>
      </c>
      <c r="K184" s="4">
        <f t="shared" si="28"/>
        <v>410.43785714285707</v>
      </c>
      <c r="L184" s="4">
        <f t="shared" si="29"/>
        <v>410.43785714285707</v>
      </c>
      <c r="M184" s="11" t="str">
        <f t="shared" si="30"/>
        <v>撤退隊形，股票跌慘</v>
      </c>
      <c r="N184" s="7" t="str">
        <f t="shared" si="31"/>
        <v>▲死亡交叉(賣訊)</v>
      </c>
      <c r="O184" s="21">
        <f t="shared" si="32"/>
        <v>0</v>
      </c>
      <c r="P184" s="4">
        <f t="shared" si="33"/>
        <v>21.88292409704605</v>
      </c>
      <c r="Q184" s="4">
        <f t="shared" si="34"/>
        <v>26.444965404252436</v>
      </c>
    </row>
    <row r="185" spans="1:17" x14ac:dyDescent="0.25">
      <c r="A185" s="1" t="s">
        <v>183</v>
      </c>
      <c r="B185" s="2">
        <v>411.46</v>
      </c>
      <c r="C185" s="2">
        <v>5.22</v>
      </c>
      <c r="D185" s="17">
        <v>1.2800000000000001E-2</v>
      </c>
      <c r="E185" s="4">
        <f t="shared" si="35"/>
        <v>411.01461538461541</v>
      </c>
      <c r="F185" s="4">
        <f t="shared" si="36"/>
        <v>4.4627506752835231</v>
      </c>
      <c r="G185" s="4">
        <f t="shared" si="37"/>
        <v>419.94011673518247</v>
      </c>
      <c r="H185" s="4">
        <f t="shared" si="38"/>
        <v>402.08911403404835</v>
      </c>
      <c r="I185" s="4">
        <f t="shared" si="26"/>
        <v>411.26000000000005</v>
      </c>
      <c r="J185" s="4">
        <f t="shared" si="27"/>
        <v>409.65</v>
      </c>
      <c r="K185" s="4">
        <f t="shared" si="28"/>
        <v>411.01461538461541</v>
      </c>
      <c r="L185" s="4">
        <f t="shared" si="29"/>
        <v>411.01461538461541</v>
      </c>
      <c r="M185" s="11" t="str">
        <f t="shared" si="30"/>
        <v>打結隊形，忽上忽下看不懂</v>
      </c>
      <c r="N185" s="7" t="str">
        <f t="shared" si="31"/>
        <v>★黃金交叉(買訊)</v>
      </c>
      <c r="O185" s="21">
        <f t="shared" si="32"/>
        <v>54.716981132075368</v>
      </c>
      <c r="P185" s="4">
        <f t="shared" si="33"/>
        <v>32.824386145569079</v>
      </c>
      <c r="Q185" s="4">
        <f t="shared" si="34"/>
        <v>28.725986057855636</v>
      </c>
    </row>
    <row r="186" spans="1:17" x14ac:dyDescent="0.25">
      <c r="A186" s="1" t="s">
        <v>184</v>
      </c>
      <c r="B186" s="2">
        <v>406.24</v>
      </c>
      <c r="C186" s="2">
        <v>-7.7</v>
      </c>
      <c r="D186" s="17">
        <v>-1.8599999999999998E-2</v>
      </c>
      <c r="E186" s="4">
        <f t="shared" si="35"/>
        <v>410.97749999999996</v>
      </c>
      <c r="F186" s="4">
        <f t="shared" si="36"/>
        <v>4.6590949667388042</v>
      </c>
      <c r="G186" s="4">
        <f t="shared" si="37"/>
        <v>420.29568993347755</v>
      </c>
      <c r="H186" s="4">
        <f t="shared" si="38"/>
        <v>401.65931006652238</v>
      </c>
      <c r="I186" s="4">
        <f t="shared" si="26"/>
        <v>410.31800000000004</v>
      </c>
      <c r="J186" s="4">
        <f t="shared" si="27"/>
        <v>410.68100000000004</v>
      </c>
      <c r="K186" s="4">
        <f t="shared" si="28"/>
        <v>410.97749999999996</v>
      </c>
      <c r="L186" s="4">
        <f t="shared" si="29"/>
        <v>410.97749999999996</v>
      </c>
      <c r="M186" s="11" t="str">
        <f t="shared" si="30"/>
        <v>撤退隊形，股票跌慘</v>
      </c>
      <c r="N186" s="7" t="str">
        <f t="shared" si="31"/>
        <v/>
      </c>
      <c r="O186" s="21">
        <f t="shared" si="32"/>
        <v>0</v>
      </c>
      <c r="P186" s="4">
        <f t="shared" si="33"/>
        <v>21.878088652315938</v>
      </c>
      <c r="Q186" s="4">
        <f t="shared" si="34"/>
        <v>26.676786013998917</v>
      </c>
    </row>
    <row r="187" spans="1:17" x14ac:dyDescent="0.25">
      <c r="A187" s="1" t="s">
        <v>185</v>
      </c>
      <c r="B187" s="2">
        <v>413.94</v>
      </c>
      <c r="C187" s="2">
        <v>5.0599999999999996</v>
      </c>
      <c r="D187" s="17">
        <v>1.24E-2</v>
      </c>
      <c r="E187" s="4">
        <f t="shared" si="35"/>
        <v>411.40818181818179</v>
      </c>
      <c r="F187" s="4">
        <f t="shared" si="36"/>
        <v>4.6291960817874545</v>
      </c>
      <c r="G187" s="4">
        <f t="shared" si="37"/>
        <v>420.6665739817567</v>
      </c>
      <c r="H187" s="4">
        <f t="shared" si="38"/>
        <v>402.14978965460688</v>
      </c>
      <c r="I187" s="4">
        <f t="shared" si="26"/>
        <v>410.82799999999997</v>
      </c>
      <c r="J187" s="4">
        <f t="shared" si="27"/>
        <v>411.43400000000003</v>
      </c>
      <c r="K187" s="4">
        <f t="shared" si="28"/>
        <v>411.40818181818179</v>
      </c>
      <c r="L187" s="4">
        <f t="shared" si="29"/>
        <v>411.40818181818179</v>
      </c>
      <c r="M187" s="11" t="str">
        <f t="shared" si="30"/>
        <v>打結隊形，忽上忽下看不懂</v>
      </c>
      <c r="N187" s="7" t="str">
        <f t="shared" si="31"/>
        <v/>
      </c>
      <c r="O187" s="21">
        <f t="shared" si="32"/>
        <v>48.655737704918138</v>
      </c>
      <c r="P187" s="4">
        <f t="shared" si="33"/>
        <v>32.817132978473907</v>
      </c>
      <c r="Q187" s="4">
        <f t="shared" si="34"/>
        <v>29.076134694840409</v>
      </c>
    </row>
    <row r="188" spans="1:17" x14ac:dyDescent="0.25">
      <c r="A188" s="1" t="s">
        <v>186</v>
      </c>
      <c r="B188" s="2">
        <v>408.88</v>
      </c>
      <c r="C188" s="2">
        <v>-6.9</v>
      </c>
      <c r="D188" s="17">
        <v>-1.66E-2</v>
      </c>
      <c r="E188" s="4">
        <f t="shared" si="35"/>
        <v>411.15500000000003</v>
      </c>
      <c r="F188" s="4">
        <f t="shared" si="36"/>
        <v>4.7986508520624787</v>
      </c>
      <c r="G188" s="4">
        <f t="shared" si="37"/>
        <v>420.75230170412499</v>
      </c>
      <c r="H188" s="4">
        <f t="shared" si="38"/>
        <v>401.55769829587507</v>
      </c>
      <c r="I188" s="4">
        <f t="shared" si="26"/>
        <v>409.34399999999994</v>
      </c>
      <c r="J188" s="4">
        <f t="shared" si="27"/>
        <v>411.15500000000003</v>
      </c>
      <c r="K188" s="4">
        <f t="shared" si="28"/>
        <v>411.15500000000003</v>
      </c>
      <c r="L188" s="4">
        <f t="shared" si="29"/>
        <v>411.15500000000003</v>
      </c>
      <c r="M188" s="11" t="str">
        <f t="shared" si="30"/>
        <v>打結隊形，忽上忽下看不懂</v>
      </c>
      <c r="N188" s="7" t="str">
        <f t="shared" si="31"/>
        <v/>
      </c>
      <c r="O188" s="21">
        <f t="shared" si="32"/>
        <v>15.475409836065662</v>
      </c>
      <c r="P188" s="4">
        <f t="shared" si="33"/>
        <v>24.897830615251792</v>
      </c>
      <c r="Q188" s="4">
        <f t="shared" si="34"/>
        <v>27.205635553023662</v>
      </c>
    </row>
    <row r="189" spans="1:17" x14ac:dyDescent="0.25">
      <c r="A189" s="1" t="s">
        <v>187</v>
      </c>
      <c r="B189" s="2">
        <v>415.78</v>
      </c>
      <c r="C189" s="2">
        <v>9.0299999999999994</v>
      </c>
      <c r="D189" s="17">
        <v>2.2200000000000001E-2</v>
      </c>
      <c r="E189" s="4">
        <f t="shared" si="35"/>
        <v>411.40777777777777</v>
      </c>
      <c r="F189" s="4">
        <f t="shared" si="36"/>
        <v>5.0186247562897535</v>
      </c>
      <c r="G189" s="4">
        <f t="shared" si="37"/>
        <v>421.4450272903573</v>
      </c>
      <c r="H189" s="4">
        <f t="shared" si="38"/>
        <v>401.37052826519823</v>
      </c>
      <c r="I189" s="4">
        <f t="shared" si="26"/>
        <v>409.03599999999994</v>
      </c>
      <c r="J189" s="4">
        <f t="shared" si="27"/>
        <v>411.40777777777777</v>
      </c>
      <c r="K189" s="4">
        <f t="shared" si="28"/>
        <v>411.40777777777777</v>
      </c>
      <c r="L189" s="4">
        <f t="shared" si="29"/>
        <v>411.40777777777777</v>
      </c>
      <c r="M189" s="11" t="str">
        <f t="shared" si="30"/>
        <v>打結隊形，忽上忽下看不懂</v>
      </c>
      <c r="N189" s="7" t="str">
        <f t="shared" si="31"/>
        <v/>
      </c>
      <c r="O189" s="21">
        <f t="shared" si="32"/>
        <v>60.721311475409777</v>
      </c>
      <c r="P189" s="4">
        <f t="shared" si="33"/>
        <v>29.609041004844862</v>
      </c>
      <c r="Q189" s="4">
        <f t="shared" si="34"/>
        <v>28.3595380219096</v>
      </c>
    </row>
    <row r="190" spans="1:17" x14ac:dyDescent="0.25">
      <c r="A190" s="1" t="s">
        <v>188</v>
      </c>
      <c r="B190" s="2">
        <v>406.75</v>
      </c>
      <c r="C190" s="2">
        <v>-2.04</v>
      </c>
      <c r="D190" s="17">
        <v>-5.0000000000000001E-3</v>
      </c>
      <c r="E190" s="4">
        <f t="shared" si="35"/>
        <v>410.86124999999998</v>
      </c>
      <c r="F190" s="4">
        <f t="shared" si="36"/>
        <v>5.0707408235878084</v>
      </c>
      <c r="G190" s="4">
        <f t="shared" si="37"/>
        <v>421.00273164717561</v>
      </c>
      <c r="H190" s="4">
        <f t="shared" si="38"/>
        <v>400.71976835282436</v>
      </c>
      <c r="I190" s="4">
        <f t="shared" si="26"/>
        <v>408.03999999999996</v>
      </c>
      <c r="J190" s="4">
        <f t="shared" si="27"/>
        <v>410.86124999999998</v>
      </c>
      <c r="K190" s="4">
        <f t="shared" si="28"/>
        <v>410.86124999999998</v>
      </c>
      <c r="L190" s="4">
        <f t="shared" si="29"/>
        <v>410.86124999999998</v>
      </c>
      <c r="M190" s="11" t="str">
        <f t="shared" si="30"/>
        <v>打結隊形，忽上忽下看不懂</v>
      </c>
      <c r="N190" s="7" t="str">
        <f t="shared" si="31"/>
        <v/>
      </c>
      <c r="O190" s="21">
        <f t="shared" si="32"/>
        <v>1.5081967213115948</v>
      </c>
      <c r="P190" s="4">
        <f t="shared" si="33"/>
        <v>14.052905769562411</v>
      </c>
      <c r="Q190" s="4">
        <f t="shared" si="34"/>
        <v>27.734786530441976</v>
      </c>
    </row>
    <row r="191" spans="1:17" x14ac:dyDescent="0.25">
      <c r="A191" s="1" t="s">
        <v>189</v>
      </c>
      <c r="B191" s="2">
        <v>408.79</v>
      </c>
      <c r="C191" s="2">
        <v>2.27</v>
      </c>
      <c r="D191" s="17">
        <v>5.5999999999999999E-3</v>
      </c>
      <c r="E191" s="4">
        <f t="shared" si="35"/>
        <v>411.44857142857143</v>
      </c>
      <c r="F191" s="4">
        <f t="shared" si="36"/>
        <v>5.174776737765046</v>
      </c>
      <c r="G191" s="4">
        <f t="shared" si="37"/>
        <v>421.79812490410154</v>
      </c>
      <c r="H191" s="4">
        <f t="shared" si="38"/>
        <v>401.09901795304131</v>
      </c>
      <c r="I191" s="4">
        <f t="shared" si="26"/>
        <v>411.04399999999998</v>
      </c>
      <c r="J191" s="4">
        <f t="shared" si="27"/>
        <v>411.44857142857143</v>
      </c>
      <c r="K191" s="4">
        <f t="shared" si="28"/>
        <v>411.44857142857143</v>
      </c>
      <c r="L191" s="4">
        <f t="shared" si="29"/>
        <v>411.44857142857143</v>
      </c>
      <c r="M191" s="11" t="str">
        <f t="shared" si="30"/>
        <v>打結隊形，忽上忽下看不懂</v>
      </c>
      <c r="N191" s="7" t="str">
        <f t="shared" si="31"/>
        <v>▲死亡交叉(賣訊)</v>
      </c>
      <c r="O191" s="21">
        <f t="shared" si="32"/>
        <v>14.8852459016396</v>
      </c>
      <c r="P191" s="4">
        <f t="shared" si="33"/>
        <v>20.325260293687819</v>
      </c>
      <c r="Q191" s="4">
        <f t="shared" si="34"/>
        <v>34.575726910881762</v>
      </c>
    </row>
    <row r="192" spans="1:17" x14ac:dyDescent="0.25">
      <c r="A192" s="1" t="s">
        <v>190</v>
      </c>
      <c r="B192" s="2">
        <v>406.52</v>
      </c>
      <c r="C192" s="2">
        <v>-0.82</v>
      </c>
      <c r="D192" s="17">
        <v>-2E-3</v>
      </c>
      <c r="E192" s="4">
        <f t="shared" si="35"/>
        <v>411.89166666666665</v>
      </c>
      <c r="F192" s="4">
        <f t="shared" si="36"/>
        <v>5.521302080729388</v>
      </c>
      <c r="G192" s="4">
        <f t="shared" si="37"/>
        <v>422.93427082812542</v>
      </c>
      <c r="H192" s="4">
        <f t="shared" si="38"/>
        <v>400.84906250520788</v>
      </c>
      <c r="I192" s="4">
        <f t="shared" si="26"/>
        <v>412.03999999999996</v>
      </c>
      <c r="J192" s="4">
        <f t="shared" si="27"/>
        <v>411.89166666666665</v>
      </c>
      <c r="K192" s="4">
        <f t="shared" si="28"/>
        <v>411.89166666666665</v>
      </c>
      <c r="L192" s="4">
        <f t="shared" si="29"/>
        <v>411.89166666666665</v>
      </c>
      <c r="M192" s="11" t="str">
        <f t="shared" si="30"/>
        <v>打結隊形，忽上忽下看不懂</v>
      </c>
      <c r="N192" s="7" t="str">
        <f t="shared" si="31"/>
        <v>★黃金交叉(買訊)</v>
      </c>
      <c r="O192" s="21">
        <f t="shared" si="32"/>
        <v>0</v>
      </c>
      <c r="P192" s="4">
        <f t="shared" si="33"/>
        <v>23.045267489711932</v>
      </c>
      <c r="Q192" s="4">
        <f t="shared" si="34"/>
        <v>41.700960219478731</v>
      </c>
    </row>
    <row r="193" spans="1:17" x14ac:dyDescent="0.25">
      <c r="A193" s="1" t="s">
        <v>191</v>
      </c>
      <c r="B193" s="2">
        <v>407.34</v>
      </c>
      <c r="C193" s="2">
        <v>-3.46</v>
      </c>
      <c r="D193" s="17">
        <v>-8.3999999999999995E-3</v>
      </c>
      <c r="E193" s="4">
        <f t="shared" si="35"/>
        <v>412.96600000000001</v>
      </c>
      <c r="F193" s="4">
        <f t="shared" si="36"/>
        <v>5.4267421165926057</v>
      </c>
      <c r="G193" s="4">
        <f t="shared" si="37"/>
        <v>423.81948423318522</v>
      </c>
      <c r="H193" s="4">
        <f t="shared" si="38"/>
        <v>402.11251576681479</v>
      </c>
      <c r="I193" s="4">
        <f t="shared" si="26"/>
        <v>412.96600000000001</v>
      </c>
      <c r="J193" s="4">
        <f t="shared" si="27"/>
        <v>412.96600000000001</v>
      </c>
      <c r="K193" s="4">
        <f t="shared" si="28"/>
        <v>412.96600000000001</v>
      </c>
      <c r="L193" s="4">
        <f t="shared" si="29"/>
        <v>412.96600000000001</v>
      </c>
      <c r="M193" s="11" t="str">
        <f t="shared" si="30"/>
        <v>打結隊形，忽上忽下看不懂</v>
      </c>
      <c r="N193" s="7" t="str">
        <f t="shared" si="31"/>
        <v/>
      </c>
      <c r="O193" s="21">
        <f t="shared" si="32"/>
        <v>0</v>
      </c>
      <c r="P193" s="4">
        <f t="shared" si="33"/>
        <v>34.567901234567898</v>
      </c>
      <c r="Q193" s="4">
        <f t="shared" si="34"/>
        <v>51.02880658436213</v>
      </c>
    </row>
    <row r="194" spans="1:17" x14ac:dyDescent="0.25">
      <c r="A194" s="1" t="s">
        <v>192</v>
      </c>
      <c r="B194" s="2">
        <v>410.8</v>
      </c>
      <c r="C194" s="2">
        <v>-10.97</v>
      </c>
      <c r="D194" s="17">
        <v>-2.5999999999999999E-2</v>
      </c>
      <c r="E194" s="4">
        <f t="shared" si="35"/>
        <v>414.37249999999995</v>
      </c>
      <c r="F194" s="4">
        <f t="shared" si="36"/>
        <v>5.1066386530998331</v>
      </c>
      <c r="G194" s="4">
        <f t="shared" si="37"/>
        <v>424.58577730619959</v>
      </c>
      <c r="H194" s="4">
        <f t="shared" si="38"/>
        <v>404.1592226938003</v>
      </c>
      <c r="I194" s="4">
        <f t="shared" si="26"/>
        <v>414.37249999999995</v>
      </c>
      <c r="J194" s="4">
        <f t="shared" si="27"/>
        <v>414.37249999999995</v>
      </c>
      <c r="K194" s="4">
        <f t="shared" si="28"/>
        <v>414.37249999999995</v>
      </c>
      <c r="L194" s="4">
        <f t="shared" si="29"/>
        <v>414.37249999999995</v>
      </c>
      <c r="M194" s="11" t="str">
        <f t="shared" si="30"/>
        <v>打結隊形，忽上忽下看不懂</v>
      </c>
      <c r="N194" s="7" t="str">
        <f t="shared" si="31"/>
        <v/>
      </c>
      <c r="O194" s="21">
        <f t="shared" si="32"/>
        <v>0</v>
      </c>
      <c r="P194" s="4">
        <f t="shared" si="33"/>
        <v>51.851851851851848</v>
      </c>
      <c r="Q194" s="4">
        <f t="shared" si="34"/>
        <v>59.259259259259245</v>
      </c>
    </row>
    <row r="195" spans="1:17" x14ac:dyDescent="0.25">
      <c r="A195" s="1" t="s">
        <v>193</v>
      </c>
      <c r="B195" s="2">
        <v>421.77</v>
      </c>
      <c r="C195" s="2">
        <v>8</v>
      </c>
      <c r="D195" s="17">
        <v>1.9300000000000001E-2</v>
      </c>
      <c r="E195" s="4">
        <f t="shared" si="35"/>
        <v>415.56333333333333</v>
      </c>
      <c r="F195" s="4">
        <f t="shared" si="36"/>
        <v>5.5324617787503376</v>
      </c>
      <c r="G195" s="4">
        <f t="shared" si="37"/>
        <v>426.628256890834</v>
      </c>
      <c r="H195" s="4">
        <f t="shared" si="38"/>
        <v>404.49840977583267</v>
      </c>
      <c r="I195" s="4">
        <f t="shared" si="26"/>
        <v>415.56333333333333</v>
      </c>
      <c r="J195" s="4">
        <f t="shared" si="27"/>
        <v>415.56333333333333</v>
      </c>
      <c r="K195" s="4">
        <f t="shared" si="28"/>
        <v>415.56333333333333</v>
      </c>
      <c r="L195" s="4">
        <f t="shared" si="29"/>
        <v>415.56333333333333</v>
      </c>
      <c r="M195" s="11" t="str">
        <f t="shared" si="30"/>
        <v>打結隊形，忽上忽下看不懂</v>
      </c>
      <c r="N195" s="7" t="str">
        <f t="shared" si="31"/>
        <v/>
      </c>
      <c r="O195" s="21">
        <f t="shared" si="32"/>
        <v>100</v>
      </c>
      <c r="P195" s="4">
        <f t="shared" si="33"/>
        <v>77.777777777777771</v>
      </c>
      <c r="Q195" s="4">
        <f t="shared" si="34"/>
        <v>62.962962962962948</v>
      </c>
    </row>
    <row r="196" spans="1:17" x14ac:dyDescent="0.25">
      <c r="A196" s="1" t="s">
        <v>194</v>
      </c>
      <c r="B196" s="2">
        <v>413.77</v>
      </c>
      <c r="C196" s="2">
        <v>2.62</v>
      </c>
      <c r="D196" s="17">
        <v>6.4000000000000003E-3</v>
      </c>
      <c r="E196" s="4">
        <f t="shared" si="35"/>
        <v>412.46</v>
      </c>
      <c r="F196" s="4">
        <f t="shared" si="36"/>
        <v>1.8526197667087578</v>
      </c>
      <c r="G196" s="4">
        <f t="shared" si="37"/>
        <v>416.16523953341749</v>
      </c>
      <c r="H196" s="4">
        <f t="shared" si="38"/>
        <v>408.75476046658247</v>
      </c>
      <c r="I196" s="4">
        <f t="shared" si="26"/>
        <v>412.46</v>
      </c>
      <c r="J196" s="4">
        <f t="shared" si="27"/>
        <v>412.46</v>
      </c>
      <c r="K196" s="4">
        <f t="shared" si="28"/>
        <v>412.46</v>
      </c>
      <c r="L196" s="4">
        <f t="shared" si="29"/>
        <v>412.46</v>
      </c>
      <c r="M196" s="11" t="str">
        <f t="shared" si="30"/>
        <v>打結隊形，忽上忽下看不懂</v>
      </c>
      <c r="N196" s="7" t="str">
        <f t="shared" si="31"/>
        <v/>
      </c>
      <c r="O196" s="21">
        <f t="shared" si="32"/>
        <v>100</v>
      </c>
      <c r="P196" s="4">
        <f t="shared" si="33"/>
        <v>66.666666666666657</v>
      </c>
      <c r="Q196" s="4">
        <f t="shared" si="34"/>
        <v>55.555555555555543</v>
      </c>
    </row>
    <row r="197" spans="1:17" x14ac:dyDescent="0.25">
      <c r="A197" s="1" t="s">
        <v>195</v>
      </c>
      <c r="B197" s="2">
        <v>411.15</v>
      </c>
      <c r="C197" s="2">
        <v>-7.47</v>
      </c>
      <c r="D197" s="17">
        <v>-1.78E-2</v>
      </c>
      <c r="E197" s="4">
        <f t="shared" si="35"/>
        <v>411.15</v>
      </c>
      <c r="F197" s="4" t="e">
        <f t="shared" si="36"/>
        <v>#DIV/0!</v>
      </c>
      <c r="G197" s="4" t="e">
        <f t="shared" si="37"/>
        <v>#DIV/0!</v>
      </c>
      <c r="H197" s="4" t="e">
        <f t="shared" si="38"/>
        <v>#DIV/0!</v>
      </c>
      <c r="I197" s="4">
        <f t="shared" ref="I197" si="39">AVERAGE(B197:B201)</f>
        <v>411.15</v>
      </c>
      <c r="J197" s="4">
        <f t="shared" ref="J197" si="40">AVERAGE(B197:B206)</f>
        <v>411.15</v>
      </c>
      <c r="K197" s="4">
        <f t="shared" ref="K197" si="41">AVERAGE(B197:B216)</f>
        <v>411.15</v>
      </c>
      <c r="L197" s="4">
        <f t="shared" ref="L197" si="42">AVERAGE(B197:B256)</f>
        <v>411.15</v>
      </c>
      <c r="M197" s="11" t="str">
        <f t="shared" ref="M197" si="43">IF(AND(I197&gt;J197, J197&gt;K197), "進攻隊形，股票大漲", IF(AND(I197&lt;J197, J197&lt;K197), "撤退隊形，股票跌慘", "打結隊形，忽上忽下看不懂"))</f>
        <v>打結隊形，忽上忽下看不懂</v>
      </c>
      <c r="N197" s="7" t="str">
        <f t="shared" ref="N197" si="44">IF(AND(I197&gt;J197,I198&lt;=J198),"★黃金交叉(買訊)",IF(AND(I197&lt;J197,I198&gt;=J198),"▲死亡交叉(賣訊)",""))</f>
        <v/>
      </c>
      <c r="O197" s="30">
        <v>50</v>
      </c>
      <c r="P197" s="31">
        <v>50</v>
      </c>
      <c r="Q197" s="31">
        <v>50</v>
      </c>
    </row>
  </sheetData>
  <mergeCells count="4">
    <mergeCell ref="A1:D1"/>
    <mergeCell ref="E1:H1"/>
    <mergeCell ref="I1:M1"/>
    <mergeCell ref="O1:Q1"/>
  </mergeCells>
  <phoneticPr fontId="4" type="noConversion"/>
  <conditionalFormatting sqref="B1:B1048576">
    <cfRule type="cellIs" dxfId="0" priority="1" operator="lessThan">
      <formula>711.97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陳信明</cp:lastModifiedBy>
  <dcterms:created xsi:type="dcterms:W3CDTF">2026-10-27T05:30:49Z</dcterms:created>
  <dcterms:modified xsi:type="dcterms:W3CDTF">2026-10-29T08:52:39Z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2.7.6</vt:lpwstr>
  </property>
</Properties>
</file>